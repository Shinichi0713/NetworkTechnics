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D:\PycharmProjects\security_specialist\network_tech\network_specialist\calulum\problems\"/>
    </mc:Choice>
  </mc:AlternateContent>
  <xr:revisionPtr revIDLastSave="0" documentId="13_ncr:1_{3CBEDC24-0688-433C-AD3A-939480041C6B}" xr6:coauthVersionLast="47" xr6:coauthVersionMax="47" xr10:uidLastSave="{00000000-0000-0000-0000-000000000000}"/>
  <bookViews>
    <workbookView xWindow="-120" yWindow="-120" windowWidth="29040" windowHeight="15720" activeTab="5" xr2:uid="{00000000-000D-0000-FFFF-FFFF00000000}"/>
  </bookViews>
  <sheets>
    <sheet name="レビュー" sheetId="2" r:id="rId1"/>
    <sheet name="format" sheetId="4" r:id="rId2"/>
    <sheet name="1" sheetId="9" r:id="rId3"/>
    <sheet name="2" sheetId="10" r:id="rId4"/>
    <sheet name="3_1" sheetId="12" r:id="rId5"/>
    <sheet name="3_2" sheetId="11" r:id="rId6"/>
    <sheet name="荷物" sheetId="13" r:id="rId7"/>
  </sheets>
  <functionGroups builtInGroupCount="19"/>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18" i="11" l="1"/>
  <c r="D22" i="12"/>
  <c r="E22" i="12" s="1"/>
  <c r="M15" i="12"/>
  <c r="E167" i="12"/>
  <c r="E166" i="12"/>
  <c r="E165" i="12"/>
  <c r="E164" i="12"/>
  <c r="E163" i="12"/>
  <c r="E162" i="12"/>
  <c r="E161" i="12"/>
  <c r="E160" i="12"/>
  <c r="E159" i="12"/>
  <c r="E158" i="12"/>
  <c r="E157" i="12"/>
  <c r="E156" i="12"/>
  <c r="E155" i="12"/>
  <c r="E154" i="12"/>
  <c r="E153" i="12"/>
  <c r="E152" i="12"/>
  <c r="E151" i="12"/>
  <c r="E150" i="12"/>
  <c r="E149" i="12"/>
  <c r="E148" i="12"/>
  <c r="E147" i="12"/>
  <c r="E146" i="12"/>
  <c r="E145" i="12"/>
  <c r="E144" i="12"/>
  <c r="E143" i="12"/>
  <c r="E142" i="12"/>
  <c r="E141" i="12"/>
  <c r="E140" i="12"/>
  <c r="E139" i="12"/>
  <c r="E138" i="12"/>
  <c r="E137" i="12"/>
  <c r="E136" i="12"/>
  <c r="E135" i="12"/>
  <c r="E134" i="12"/>
  <c r="E133" i="12"/>
  <c r="E132" i="12"/>
  <c r="E131" i="12"/>
  <c r="E130" i="12"/>
  <c r="E129" i="12"/>
  <c r="E128" i="12"/>
  <c r="E127" i="12"/>
  <c r="E126" i="12"/>
  <c r="E125" i="12"/>
  <c r="E124" i="12"/>
  <c r="E123" i="12"/>
  <c r="E122" i="12"/>
  <c r="E121" i="12"/>
  <c r="E120" i="12"/>
  <c r="E119" i="12"/>
  <c r="E118" i="12"/>
  <c r="E117" i="12"/>
  <c r="E116" i="12"/>
  <c r="E115" i="12"/>
  <c r="E114" i="12"/>
  <c r="E113" i="12"/>
  <c r="E112" i="12"/>
  <c r="E111" i="12"/>
  <c r="E110" i="12"/>
  <c r="E109" i="12"/>
  <c r="E108" i="12"/>
  <c r="E107" i="12"/>
  <c r="E106" i="12"/>
  <c r="E105" i="12"/>
  <c r="E104" i="12"/>
  <c r="E103" i="12"/>
  <c r="E102" i="12"/>
  <c r="E101" i="12"/>
  <c r="E100" i="12"/>
  <c r="E99" i="12"/>
  <c r="E98" i="12"/>
  <c r="E97" i="12"/>
  <c r="E96" i="12"/>
  <c r="E95" i="12"/>
  <c r="E94" i="12"/>
  <c r="E93" i="12"/>
  <c r="E92" i="12"/>
  <c r="E91" i="12"/>
  <c r="E90" i="12"/>
  <c r="E89" i="12"/>
  <c r="E88" i="12"/>
  <c r="E87" i="12"/>
  <c r="E86" i="12"/>
  <c r="E85" i="12"/>
  <c r="E84" i="12"/>
  <c r="E83" i="12"/>
  <c r="E82" i="12"/>
  <c r="E81" i="12"/>
  <c r="E80" i="12"/>
  <c r="E79" i="12"/>
  <c r="E78" i="12"/>
  <c r="E77" i="12"/>
  <c r="E76" i="12"/>
  <c r="E75" i="12"/>
  <c r="E74" i="12"/>
  <c r="E73" i="12"/>
  <c r="E72" i="12"/>
  <c r="E71" i="12"/>
  <c r="E70" i="12"/>
  <c r="E69" i="12"/>
  <c r="E68" i="12"/>
  <c r="E67" i="12"/>
  <c r="E66" i="12"/>
  <c r="E65" i="12"/>
  <c r="E64" i="12"/>
  <c r="E63" i="12"/>
  <c r="E62" i="12"/>
  <c r="E61" i="12"/>
  <c r="E60" i="12"/>
  <c r="E59" i="12"/>
  <c r="E58" i="12"/>
  <c r="E57" i="12"/>
  <c r="E56" i="12"/>
  <c r="E55" i="12"/>
  <c r="E54" i="12"/>
  <c r="E53" i="12"/>
  <c r="E52" i="12"/>
  <c r="E51" i="12"/>
  <c r="E50" i="12"/>
  <c r="E49" i="12"/>
  <c r="E48" i="12"/>
  <c r="E47" i="12"/>
  <c r="E46" i="12"/>
  <c r="E45" i="12"/>
  <c r="E44" i="12"/>
  <c r="E43" i="12"/>
  <c r="E42" i="12"/>
  <c r="E41" i="12"/>
  <c r="E40" i="12"/>
  <c r="E39" i="12"/>
  <c r="E38" i="12"/>
  <c r="E37" i="12"/>
  <c r="E36" i="12"/>
  <c r="E35" i="12"/>
  <c r="E34" i="12"/>
  <c r="E33" i="12"/>
  <c r="E32" i="12"/>
  <c r="E31" i="12"/>
  <c r="E30" i="12"/>
  <c r="E29" i="12"/>
  <c r="E28" i="12"/>
  <c r="E27" i="12"/>
  <c r="E26" i="12"/>
  <c r="E25" i="12"/>
  <c r="E24" i="12"/>
  <c r="E23" i="12"/>
  <c r="E21" i="12"/>
  <c r="E20" i="12"/>
  <c r="E19" i="12"/>
  <c r="E18" i="12"/>
  <c r="E17" i="12"/>
  <c r="E16" i="12"/>
  <c r="E15" i="12"/>
  <c r="E14" i="12"/>
  <c r="E13" i="12"/>
  <c r="E12" i="12"/>
  <c r="E11" i="12"/>
  <c r="E10" i="12"/>
  <c r="E9" i="12"/>
  <c r="E8" i="12"/>
  <c r="E7" i="12"/>
  <c r="E6" i="12"/>
  <c r="E5" i="12"/>
  <c r="E4" i="12"/>
  <c r="G2" i="12"/>
  <c r="F2" i="12"/>
  <c r="E167" i="11"/>
  <c r="E166" i="11"/>
  <c r="E165" i="11"/>
  <c r="E164" i="11"/>
  <c r="E163" i="11"/>
  <c r="E162" i="11"/>
  <c r="E161" i="11"/>
  <c r="E160" i="11"/>
  <c r="E159" i="11"/>
  <c r="E158" i="11"/>
  <c r="E157" i="11"/>
  <c r="E156" i="11"/>
  <c r="E155" i="11"/>
  <c r="E154" i="11"/>
  <c r="E153" i="11"/>
  <c r="E152" i="11"/>
  <c r="E151" i="11"/>
  <c r="E150" i="11"/>
  <c r="E149" i="11"/>
  <c r="E148" i="11"/>
  <c r="E147" i="11"/>
  <c r="E146" i="11"/>
  <c r="E145" i="11"/>
  <c r="E144" i="11"/>
  <c r="E143" i="11"/>
  <c r="E142" i="11"/>
  <c r="E141" i="11"/>
  <c r="E140" i="11"/>
  <c r="E139" i="11"/>
  <c r="E138" i="11"/>
  <c r="E137" i="11"/>
  <c r="E136" i="11"/>
  <c r="E135" i="11"/>
  <c r="E134" i="11"/>
  <c r="E133" i="11"/>
  <c r="E132" i="11"/>
  <c r="E131" i="11"/>
  <c r="E130" i="11"/>
  <c r="E129" i="11"/>
  <c r="E128" i="11"/>
  <c r="E127" i="11"/>
  <c r="E126" i="11"/>
  <c r="E125" i="11"/>
  <c r="E124" i="11"/>
  <c r="E123" i="11"/>
  <c r="E122" i="11"/>
  <c r="E121" i="11"/>
  <c r="E120" i="11"/>
  <c r="E119" i="11"/>
  <c r="E118" i="11"/>
  <c r="E117" i="11"/>
  <c r="E116" i="11"/>
  <c r="E115" i="11"/>
  <c r="E114" i="11"/>
  <c r="E113" i="11"/>
  <c r="E112" i="11"/>
  <c r="E111" i="11"/>
  <c r="E110" i="11"/>
  <c r="E109" i="11"/>
  <c r="E108" i="11"/>
  <c r="E107" i="11"/>
  <c r="E106" i="11"/>
  <c r="E105" i="11"/>
  <c r="E104" i="11"/>
  <c r="E103" i="11"/>
  <c r="E102" i="11"/>
  <c r="E101" i="11"/>
  <c r="E100" i="11"/>
  <c r="E99" i="11"/>
  <c r="E98" i="11"/>
  <c r="E97" i="11"/>
  <c r="E96" i="11"/>
  <c r="E95" i="11"/>
  <c r="E94" i="11"/>
  <c r="E93" i="11"/>
  <c r="E92" i="11"/>
  <c r="E91" i="11"/>
  <c r="E90" i="11"/>
  <c r="E89" i="11"/>
  <c r="E88" i="11"/>
  <c r="E87" i="11"/>
  <c r="E86" i="11"/>
  <c r="E85" i="11"/>
  <c r="E84" i="11"/>
  <c r="E83" i="11"/>
  <c r="E82" i="11"/>
  <c r="E81" i="11"/>
  <c r="E80" i="11"/>
  <c r="E79" i="11"/>
  <c r="E78" i="11"/>
  <c r="E77" i="11"/>
  <c r="E76" i="11"/>
  <c r="E75" i="11"/>
  <c r="E74" i="11"/>
  <c r="E73" i="11"/>
  <c r="E72" i="11"/>
  <c r="E71" i="11"/>
  <c r="E70" i="11"/>
  <c r="E69" i="11"/>
  <c r="E68" i="11"/>
  <c r="E67" i="11"/>
  <c r="E66" i="11"/>
  <c r="E65" i="11"/>
  <c r="E64" i="11"/>
  <c r="E63" i="11"/>
  <c r="E62" i="11"/>
  <c r="E61" i="11"/>
  <c r="E60" i="11"/>
  <c r="E59" i="11"/>
  <c r="E58" i="11"/>
  <c r="E57" i="11"/>
  <c r="E56" i="11"/>
  <c r="E55" i="11"/>
  <c r="E54" i="11"/>
  <c r="E53" i="11"/>
  <c r="E52"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3" i="11"/>
  <c r="E22" i="11"/>
  <c r="E21" i="11"/>
  <c r="E20" i="11"/>
  <c r="E19" i="11"/>
  <c r="E18" i="11"/>
  <c r="E17" i="11"/>
  <c r="E16" i="11"/>
  <c r="E15" i="11"/>
  <c r="E14" i="11"/>
  <c r="E13" i="11"/>
  <c r="E12" i="11"/>
  <c r="E11" i="11"/>
  <c r="E10" i="11"/>
  <c r="E9" i="11"/>
  <c r="E8" i="11"/>
  <c r="E7" i="11"/>
  <c r="E6" i="11"/>
  <c r="E5" i="11"/>
  <c r="E4" i="11"/>
  <c r="G2" i="11"/>
  <c r="F2" i="11"/>
  <c r="E167" i="10"/>
  <c r="E166" i="10"/>
  <c r="E165" i="10"/>
  <c r="E164" i="10"/>
  <c r="E163" i="10"/>
  <c r="E162" i="10"/>
  <c r="E161" i="10"/>
  <c r="E160" i="10"/>
  <c r="E159" i="10"/>
  <c r="E158" i="10"/>
  <c r="E157" i="10"/>
  <c r="E156" i="10"/>
  <c r="E155" i="10"/>
  <c r="E154" i="10"/>
  <c r="E153" i="10"/>
  <c r="E152" i="10"/>
  <c r="E151" i="10"/>
  <c r="E150" i="10"/>
  <c r="E149" i="10"/>
  <c r="E148" i="10"/>
  <c r="E147" i="10"/>
  <c r="E146" i="10"/>
  <c r="E145" i="10"/>
  <c r="E144" i="10"/>
  <c r="E143" i="10"/>
  <c r="E142" i="10"/>
  <c r="E141" i="10"/>
  <c r="E140" i="10"/>
  <c r="E139" i="10"/>
  <c r="E138" i="10"/>
  <c r="E137" i="10"/>
  <c r="E136" i="10"/>
  <c r="E135" i="10"/>
  <c r="E134" i="10"/>
  <c r="E133" i="10"/>
  <c r="E132" i="10"/>
  <c r="E131" i="10"/>
  <c r="E130" i="10"/>
  <c r="E129" i="10"/>
  <c r="E128" i="10"/>
  <c r="E127" i="10"/>
  <c r="E126" i="10"/>
  <c r="E125" i="10"/>
  <c r="E124" i="10"/>
  <c r="E123" i="10"/>
  <c r="E122" i="10"/>
  <c r="E121" i="10"/>
  <c r="E120" i="10"/>
  <c r="E119" i="10"/>
  <c r="E118" i="10"/>
  <c r="E117" i="10"/>
  <c r="E116" i="10"/>
  <c r="E115" i="10"/>
  <c r="E114" i="10"/>
  <c r="E113" i="10"/>
  <c r="E112" i="10"/>
  <c r="E111" i="10"/>
  <c r="E110" i="10"/>
  <c r="E109" i="10"/>
  <c r="E108" i="10"/>
  <c r="E107" i="10"/>
  <c r="E106" i="10"/>
  <c r="E105" i="10"/>
  <c r="E104" i="10"/>
  <c r="E103" i="10"/>
  <c r="E102" i="10"/>
  <c r="E101" i="10"/>
  <c r="E100" i="10"/>
  <c r="E99" i="10"/>
  <c r="E98" i="10"/>
  <c r="E97" i="10"/>
  <c r="E96" i="10"/>
  <c r="E95" i="10"/>
  <c r="E94" i="10"/>
  <c r="E93" i="10"/>
  <c r="E92" i="10"/>
  <c r="E91" i="10"/>
  <c r="E90" i="10"/>
  <c r="E89" i="10"/>
  <c r="E88" i="10"/>
  <c r="E87" i="10"/>
  <c r="E86" i="10"/>
  <c r="E85" i="10"/>
  <c r="E84" i="10"/>
  <c r="E83" i="10"/>
  <c r="E82" i="10"/>
  <c r="E81" i="10"/>
  <c r="E80" i="10"/>
  <c r="E79" i="10"/>
  <c r="E78" i="10"/>
  <c r="E77" i="10"/>
  <c r="E76" i="10"/>
  <c r="E75" i="10"/>
  <c r="E74" i="10"/>
  <c r="E73" i="10"/>
  <c r="E72" i="10"/>
  <c r="E71" i="10"/>
  <c r="E70" i="10"/>
  <c r="E69" i="10"/>
  <c r="E68" i="10"/>
  <c r="E67" i="10"/>
  <c r="E66" i="10"/>
  <c r="E65" i="10"/>
  <c r="E64" i="10"/>
  <c r="E63" i="10"/>
  <c r="E62" i="10"/>
  <c r="E61" i="10"/>
  <c r="E60" i="10"/>
  <c r="E59" i="10"/>
  <c r="E58" i="10"/>
  <c r="E57" i="10"/>
  <c r="E56" i="10"/>
  <c r="E55" i="10"/>
  <c r="E54" i="10"/>
  <c r="E53" i="10"/>
  <c r="E52" i="10"/>
  <c r="E51" i="10"/>
  <c r="E50" i="10"/>
  <c r="E49" i="10"/>
  <c r="E48" i="10"/>
  <c r="E47" i="10"/>
  <c r="E46" i="10"/>
  <c r="E45" i="10"/>
  <c r="E44" i="10"/>
  <c r="E43" i="10"/>
  <c r="E42" i="10"/>
  <c r="E41" i="10"/>
  <c r="E40" i="10"/>
  <c r="E39" i="10"/>
  <c r="E38" i="10"/>
  <c r="E37" i="10"/>
  <c r="E36" i="10"/>
  <c r="E35" i="10"/>
  <c r="E34" i="10"/>
  <c r="E33" i="10"/>
  <c r="E32" i="10"/>
  <c r="E31" i="10"/>
  <c r="E30" i="10"/>
  <c r="E29" i="10"/>
  <c r="E28" i="10"/>
  <c r="E27" i="10"/>
  <c r="E26" i="10"/>
  <c r="E25" i="10"/>
  <c r="E24" i="10"/>
  <c r="E23" i="10"/>
  <c r="E22" i="10"/>
  <c r="E21" i="10"/>
  <c r="E20" i="10"/>
  <c r="E19" i="10"/>
  <c r="E18" i="10"/>
  <c r="E17" i="10"/>
  <c r="E16" i="10"/>
  <c r="E15" i="10"/>
  <c r="E14" i="10"/>
  <c r="E13" i="10"/>
  <c r="E12" i="10"/>
  <c r="E11" i="10"/>
  <c r="E10" i="10"/>
  <c r="E9" i="10"/>
  <c r="E8" i="10"/>
  <c r="E7" i="10"/>
  <c r="E6" i="10"/>
  <c r="E5" i="10"/>
  <c r="E4" i="10"/>
  <c r="G2" i="10"/>
  <c r="F2" i="10"/>
  <c r="E18" i="9"/>
  <c r="E17" i="9"/>
  <c r="E167" i="9"/>
  <c r="E166" i="9"/>
  <c r="E165" i="9"/>
  <c r="E164" i="9"/>
  <c r="E163" i="9"/>
  <c r="E162" i="9"/>
  <c r="E161" i="9"/>
  <c r="E160" i="9"/>
  <c r="E159" i="9"/>
  <c r="E158" i="9"/>
  <c r="E157" i="9"/>
  <c r="E156" i="9"/>
  <c r="E155" i="9"/>
  <c r="E154" i="9"/>
  <c r="E153" i="9"/>
  <c r="E152" i="9"/>
  <c r="E151" i="9"/>
  <c r="E150" i="9"/>
  <c r="E149" i="9"/>
  <c r="E148" i="9"/>
  <c r="E147" i="9"/>
  <c r="E146" i="9"/>
  <c r="E145" i="9"/>
  <c r="E144" i="9"/>
  <c r="E143" i="9"/>
  <c r="E142" i="9"/>
  <c r="E141" i="9"/>
  <c r="E140" i="9"/>
  <c r="E139" i="9"/>
  <c r="E138" i="9"/>
  <c r="E137" i="9"/>
  <c r="E136" i="9"/>
  <c r="E135" i="9"/>
  <c r="E134" i="9"/>
  <c r="E133" i="9"/>
  <c r="E132" i="9"/>
  <c r="E131" i="9"/>
  <c r="E130" i="9"/>
  <c r="E129" i="9"/>
  <c r="E128" i="9"/>
  <c r="E127" i="9"/>
  <c r="E126" i="9"/>
  <c r="E125" i="9"/>
  <c r="E124" i="9"/>
  <c r="E123" i="9"/>
  <c r="E122" i="9"/>
  <c r="E121" i="9"/>
  <c r="E120" i="9"/>
  <c r="E119" i="9"/>
  <c r="E118" i="9"/>
  <c r="E117" i="9"/>
  <c r="E116" i="9"/>
  <c r="E115" i="9"/>
  <c r="E114" i="9"/>
  <c r="E113" i="9"/>
  <c r="E112" i="9"/>
  <c r="E111" i="9"/>
  <c r="E110" i="9"/>
  <c r="E109" i="9"/>
  <c r="E108" i="9"/>
  <c r="E107" i="9"/>
  <c r="E106" i="9"/>
  <c r="E105" i="9"/>
  <c r="E104" i="9"/>
  <c r="E103" i="9"/>
  <c r="E102" i="9"/>
  <c r="E101" i="9"/>
  <c r="E100" i="9"/>
  <c r="E99" i="9"/>
  <c r="E98" i="9"/>
  <c r="E97" i="9"/>
  <c r="E96" i="9"/>
  <c r="E95" i="9"/>
  <c r="E94" i="9"/>
  <c r="E93" i="9"/>
  <c r="E92" i="9"/>
  <c r="E91" i="9"/>
  <c r="E90" i="9"/>
  <c r="E89" i="9"/>
  <c r="E88" i="9"/>
  <c r="E87" i="9"/>
  <c r="E86" i="9"/>
  <c r="E85" i="9"/>
  <c r="E84" i="9"/>
  <c r="E83" i="9"/>
  <c r="E82" i="9"/>
  <c r="E81" i="9"/>
  <c r="E80" i="9"/>
  <c r="E79" i="9"/>
  <c r="E78" i="9"/>
  <c r="E77" i="9"/>
  <c r="E76" i="9"/>
  <c r="E75" i="9"/>
  <c r="E74" i="9"/>
  <c r="E73" i="9"/>
  <c r="E72" i="9"/>
  <c r="E71" i="9"/>
  <c r="E70" i="9"/>
  <c r="E69" i="9"/>
  <c r="E68" i="9"/>
  <c r="E67" i="9"/>
  <c r="E66" i="9"/>
  <c r="E65" i="9"/>
  <c r="E64" i="9"/>
  <c r="E63" i="9"/>
  <c r="E62" i="9"/>
  <c r="E61" i="9"/>
  <c r="E60" i="9"/>
  <c r="E59" i="9"/>
  <c r="E58" i="9"/>
  <c r="E57" i="9"/>
  <c r="E56" i="9"/>
  <c r="E55" i="9"/>
  <c r="E54" i="9"/>
  <c r="E53" i="9"/>
  <c r="E52" i="9"/>
  <c r="E51" i="9"/>
  <c r="E50" i="9"/>
  <c r="E49" i="9"/>
  <c r="E48" i="9"/>
  <c r="E47" i="9"/>
  <c r="E46" i="9"/>
  <c r="E45" i="9"/>
  <c r="E44" i="9"/>
  <c r="E43" i="9"/>
  <c r="E42" i="9"/>
  <c r="E41" i="9"/>
  <c r="E40" i="9"/>
  <c r="E39" i="9"/>
  <c r="E38" i="9"/>
  <c r="E37" i="9"/>
  <c r="E36" i="9"/>
  <c r="E35" i="9"/>
  <c r="E34" i="9"/>
  <c r="E33" i="9"/>
  <c r="E32" i="9"/>
  <c r="E31" i="9"/>
  <c r="E30" i="9"/>
  <c r="E29" i="9"/>
  <c r="E28" i="9"/>
  <c r="E27" i="9"/>
  <c r="E26" i="9"/>
  <c r="E25" i="9"/>
  <c r="E24" i="9"/>
  <c r="E23" i="9"/>
  <c r="E22" i="9"/>
  <c r="E21" i="9"/>
  <c r="E20" i="9"/>
  <c r="E19" i="9"/>
  <c r="E16" i="9"/>
  <c r="E15" i="9"/>
  <c r="E14" i="9"/>
  <c r="E13" i="9"/>
  <c r="E12" i="9"/>
  <c r="E11" i="9"/>
  <c r="E10" i="9"/>
  <c r="E9" i="9"/>
  <c r="E8" i="9"/>
  <c r="E7" i="9"/>
  <c r="E6" i="9"/>
  <c r="E5" i="9"/>
  <c r="E4" i="9"/>
  <c r="G2" i="9"/>
  <c r="F2" i="9"/>
  <c r="C167" i="4"/>
  <c r="C166" i="4"/>
  <c r="C165" i="4"/>
  <c r="C164" i="4"/>
  <c r="C163" i="4"/>
  <c r="C162" i="4"/>
  <c r="C161" i="4"/>
  <c r="C160" i="4"/>
  <c r="C159" i="4"/>
  <c r="C158" i="4"/>
  <c r="C157" i="4"/>
  <c r="C156" i="4"/>
  <c r="C155" i="4"/>
  <c r="C154" i="4"/>
  <c r="C153" i="4"/>
  <c r="C152" i="4"/>
  <c r="C151" i="4"/>
  <c r="C150" i="4"/>
  <c r="C149" i="4"/>
  <c r="C148" i="4"/>
  <c r="C147" i="4"/>
  <c r="C146" i="4"/>
  <c r="C145" i="4"/>
  <c r="C144" i="4"/>
  <c r="C143" i="4"/>
  <c r="C142" i="4"/>
  <c r="C141" i="4"/>
  <c r="C140" i="4"/>
  <c r="C139" i="4"/>
  <c r="C138" i="4"/>
  <c r="C137" i="4"/>
  <c r="C136" i="4"/>
  <c r="C135" i="4"/>
  <c r="C134" i="4"/>
  <c r="C133" i="4"/>
  <c r="C132" i="4"/>
  <c r="C131" i="4"/>
  <c r="C130" i="4"/>
  <c r="C129" i="4"/>
  <c r="C128" i="4"/>
  <c r="C127" i="4"/>
  <c r="C126" i="4"/>
  <c r="C125" i="4"/>
  <c r="C124" i="4"/>
  <c r="C123" i="4"/>
  <c r="C122" i="4"/>
  <c r="C121" i="4"/>
  <c r="C120" i="4"/>
  <c r="C119" i="4"/>
  <c r="C118" i="4"/>
  <c r="C117" i="4"/>
  <c r="C116" i="4"/>
  <c r="C115" i="4"/>
  <c r="C114" i="4"/>
  <c r="C113" i="4"/>
  <c r="C112" i="4"/>
  <c r="C111" i="4"/>
  <c r="C110" i="4"/>
  <c r="C109" i="4"/>
  <c r="C108" i="4"/>
  <c r="C107" i="4"/>
  <c r="C106" i="4"/>
  <c r="C105" i="4"/>
  <c r="C104" i="4"/>
  <c r="C103" i="4"/>
  <c r="C102" i="4"/>
  <c r="C101" i="4"/>
  <c r="C100" i="4"/>
  <c r="C99" i="4"/>
  <c r="C98" i="4"/>
  <c r="C97" i="4"/>
  <c r="C96" i="4"/>
  <c r="C95" i="4"/>
  <c r="C94" i="4"/>
  <c r="C93" i="4"/>
  <c r="C92" i="4"/>
  <c r="C91" i="4"/>
  <c r="C90" i="4"/>
  <c r="C89" i="4"/>
  <c r="C88" i="4"/>
  <c r="C87" i="4"/>
  <c r="C86" i="4"/>
  <c r="C85" i="4"/>
  <c r="C84" i="4"/>
  <c r="C83" i="4"/>
  <c r="C82" i="4"/>
  <c r="C81" i="4"/>
  <c r="C80" i="4"/>
  <c r="C79" i="4"/>
  <c r="C78" i="4"/>
  <c r="C77" i="4"/>
  <c r="C76" i="4"/>
  <c r="C75" i="4"/>
  <c r="C74" i="4"/>
  <c r="C73" i="4"/>
  <c r="C72" i="4"/>
  <c r="C71" i="4"/>
  <c r="C70" i="4"/>
  <c r="C69" i="4"/>
  <c r="C68" i="4"/>
  <c r="C67" i="4"/>
  <c r="C66" i="4"/>
  <c r="C65" i="4"/>
  <c r="C64" i="4"/>
  <c r="C63" i="4"/>
  <c r="C62" i="4"/>
  <c r="C61" i="4"/>
  <c r="C60" i="4"/>
  <c r="C59" i="4"/>
  <c r="C58" i="4"/>
  <c r="C57" i="4"/>
  <c r="C56" i="4"/>
  <c r="C55" i="4"/>
  <c r="C54" i="4"/>
  <c r="C53" i="4"/>
  <c r="C52" i="4"/>
  <c r="C51" i="4"/>
  <c r="C50" i="4"/>
  <c r="C49" i="4"/>
  <c r="C48" i="4"/>
  <c r="C47" i="4"/>
  <c r="C46" i="4"/>
  <c r="C45" i="4"/>
  <c r="C44" i="4"/>
  <c r="C43" i="4"/>
  <c r="C42" i="4"/>
  <c r="C41" i="4"/>
  <c r="C40" i="4"/>
  <c r="C39" i="4"/>
  <c r="C38" i="4"/>
  <c r="C37" i="4"/>
  <c r="C36" i="4"/>
  <c r="C35" i="4"/>
  <c r="C34" i="4"/>
  <c r="C33" i="4"/>
  <c r="C32" i="4"/>
  <c r="C31" i="4"/>
  <c r="C30" i="4"/>
  <c r="C29" i="4"/>
  <c r="C28" i="4"/>
  <c r="C27" i="4"/>
  <c r="C26" i="4"/>
  <c r="C25" i="4"/>
  <c r="C24" i="4"/>
  <c r="C23" i="4"/>
  <c r="C22" i="4"/>
  <c r="C21" i="4"/>
  <c r="C20" i="4"/>
  <c r="C19" i="4"/>
  <c r="C18" i="4"/>
  <c r="C17" i="4"/>
  <c r="C16" i="4"/>
  <c r="C15" i="4"/>
  <c r="C14" i="4"/>
  <c r="C13" i="4"/>
  <c r="C12" i="4"/>
  <c r="C11" i="4"/>
  <c r="C10" i="4"/>
  <c r="C9" i="4"/>
  <c r="C8" i="4"/>
  <c r="C7" i="4"/>
  <c r="C6" i="4"/>
  <c r="C5" i="4"/>
  <c r="C4" i="4"/>
  <c r="E2" i="4"/>
  <c r="D2" i="4"/>
</calcChain>
</file>

<file path=xl/sharedStrings.xml><?xml version="1.0" encoding="utf-8"?>
<sst xmlns="http://schemas.openxmlformats.org/spreadsheetml/2006/main" count="370" uniqueCount="187">
  <si>
    <t>問題集</t>
    <rPh sb="0" eb="2">
      <t>モンダイ</t>
    </rPh>
    <rPh sb="2" eb="3">
      <t>アツ</t>
    </rPh>
    <phoneticPr fontId="1"/>
  </si>
  <si>
    <t>問題番号</t>
    <rPh sb="0" eb="2">
      <t>モンダイ</t>
    </rPh>
    <rPh sb="2" eb="4">
      <t>バンゴウ</t>
    </rPh>
    <phoneticPr fontId="1"/>
  </si>
  <si>
    <t>大問番号</t>
    <rPh sb="0" eb="2">
      <t>ダイモン</t>
    </rPh>
    <rPh sb="2" eb="4">
      <t>バンゴウ</t>
    </rPh>
    <phoneticPr fontId="1"/>
  </si>
  <si>
    <t>解答</t>
    <rPh sb="0" eb="2">
      <t>カイトウ</t>
    </rPh>
    <phoneticPr fontId="1"/>
  </si>
  <si>
    <t>採点</t>
    <rPh sb="0" eb="2">
      <t>サイテン</t>
    </rPh>
    <phoneticPr fontId="1"/>
  </si>
  <si>
    <t>配点</t>
    <rPh sb="0" eb="2">
      <t>ハイテン</t>
    </rPh>
    <phoneticPr fontId="1"/>
  </si>
  <si>
    <t>文字数</t>
    <rPh sb="0" eb="3">
      <t>モジスウ</t>
    </rPh>
    <phoneticPr fontId="1"/>
  </si>
  <si>
    <t>問題集</t>
    <rPh sb="0" eb="3">
      <t>モンダイシュウ</t>
    </rPh>
    <phoneticPr fontId="1"/>
  </si>
  <si>
    <t>大問</t>
    <rPh sb="0" eb="2">
      <t>ダイモン</t>
    </rPh>
    <phoneticPr fontId="1"/>
  </si>
  <si>
    <t>得点</t>
    <rPh sb="0" eb="2">
      <t>トクテン</t>
    </rPh>
    <phoneticPr fontId="1"/>
  </si>
  <si>
    <t>不正解の問題</t>
    <rPh sb="0" eb="3">
      <t>フセイカイ</t>
    </rPh>
    <rPh sb="4" eb="6">
      <t>モンダイ</t>
    </rPh>
    <phoneticPr fontId="1"/>
  </si>
  <si>
    <t>シート番号</t>
    <rPh sb="3" eb="5">
      <t>バンゴウ</t>
    </rPh>
    <phoneticPr fontId="1"/>
  </si>
  <si>
    <t>オ</t>
    <phoneticPr fontId="1"/>
  </si>
  <si>
    <t>4</t>
    <phoneticPr fontId="1"/>
  </si>
  <si>
    <t>2</t>
    <phoneticPr fontId="1"/>
  </si>
  <si>
    <t>重点対策</t>
    <rPh sb="0" eb="4">
      <t>ジュウテンタイサク</t>
    </rPh>
    <phoneticPr fontId="1"/>
  </si>
  <si>
    <t>1</t>
    <phoneticPr fontId="1"/>
  </si>
  <si>
    <t>ア</t>
    <phoneticPr fontId="1"/>
  </si>
  <si>
    <t>イ</t>
    <phoneticPr fontId="1"/>
  </si>
  <si>
    <t>ウ</t>
    <phoneticPr fontId="1"/>
  </si>
  <si>
    <t>エ</t>
    <phoneticPr fontId="1"/>
  </si>
  <si>
    <t>3</t>
    <phoneticPr fontId="1"/>
  </si>
  <si>
    <t>PSE</t>
    <phoneticPr fontId="1"/>
  </si>
  <si>
    <t>PoE</t>
    <phoneticPr fontId="1"/>
  </si>
  <si>
    <t>奇数番号</t>
    <rPh sb="0" eb="4">
      <t>キスウバンゴウ</t>
    </rPh>
    <phoneticPr fontId="1"/>
  </si>
  <si>
    <t>IEEE802.3at</t>
    <phoneticPr fontId="1"/>
  </si>
  <si>
    <t>スタック接続が可能</t>
    <rPh sb="4" eb="6">
      <t>セツゾク</t>
    </rPh>
    <rPh sb="7" eb="9">
      <t>カノウ</t>
    </rPh>
    <phoneticPr fontId="1"/>
  </si>
  <si>
    <t>スタック専用ポートが存在</t>
    <rPh sb="4" eb="6">
      <t>センヨウ</t>
    </rPh>
    <rPh sb="10" eb="12">
      <t>ソンザイ</t>
    </rPh>
    <phoneticPr fontId="1"/>
  </si>
  <si>
    <t>inポートを接続しリングを構成する</t>
    <rPh sb="6" eb="8">
      <t>セツゾク</t>
    </rPh>
    <rPh sb="13" eb="15">
      <t>コウセイ</t>
    </rPh>
    <phoneticPr fontId="1"/>
  </si>
  <si>
    <t>交互にin-outを接続する</t>
    <rPh sb="0" eb="2">
      <t>コウゴ</t>
    </rPh>
    <rPh sb="10" eb="12">
      <t>セツゾク</t>
    </rPh>
    <phoneticPr fontId="1"/>
  </si>
  <si>
    <t>８ポートから降順に接続</t>
    <rPh sb="6" eb="8">
      <t>コウジュン</t>
    </rPh>
    <rPh sb="9" eb="11">
      <t>セツゾク</t>
    </rPh>
    <phoneticPr fontId="1"/>
  </si>
  <si>
    <t>残りポートは有線LAN</t>
    <rPh sb="0" eb="1">
      <t>ノコ</t>
    </rPh>
    <rPh sb="6" eb="8">
      <t>ユウセン</t>
    </rPh>
    <phoneticPr fontId="1"/>
  </si>
  <si>
    <t>トンネルに参加するとトンネル</t>
    <rPh sb="5" eb="7">
      <t>サンカ</t>
    </rPh>
    <phoneticPr fontId="1"/>
  </si>
  <si>
    <t>データ用通信の流れ</t>
    <rPh sb="3" eb="4">
      <t>ヨウ</t>
    </rPh>
    <rPh sb="4" eb="6">
      <t>ツウシン</t>
    </rPh>
    <rPh sb="7" eb="8">
      <t>ナガ</t>
    </rPh>
    <phoneticPr fontId="1"/>
  </si>
  <si>
    <t>WLCとAPのトンネル構築</t>
    <rPh sb="11" eb="13">
      <t>コウチク</t>
    </rPh>
    <phoneticPr fontId="1"/>
  </si>
  <si>
    <t>PC1→AP1→L2SW1→L3SW1→WLC→L3SW1→L3SW2→サーバ1</t>
    <phoneticPr fontId="1"/>
  </si>
  <si>
    <t>モードAはWLCが停止</t>
    <rPh sb="9" eb="11">
      <t>テイシ</t>
    </rPh>
    <phoneticPr fontId="1"/>
  </si>
  <si>
    <t>モードAでテスト</t>
    <phoneticPr fontId="1"/>
  </si>
  <si>
    <t>PCがLANにつながらない</t>
    <phoneticPr fontId="1"/>
  </si>
  <si>
    <t>データ用通信はWLCを経由しないので影響はない</t>
    <rPh sb="3" eb="4">
      <t>ヨウ</t>
    </rPh>
    <rPh sb="4" eb="6">
      <t>ツウシン</t>
    </rPh>
    <rPh sb="11" eb="13">
      <t>ケイユ</t>
    </rPh>
    <rPh sb="18" eb="20">
      <t>エイキョウ</t>
    </rPh>
    <phoneticPr fontId="1"/>
  </si>
  <si>
    <t>PC再起動</t>
    <rPh sb="2" eb="5">
      <t>サイキドウ</t>
    </rPh>
    <phoneticPr fontId="1"/>
  </si>
  <si>
    <t>ローミング</t>
    <phoneticPr fontId="1"/>
  </si>
  <si>
    <t>WLCとAPの間にトンネルが構築されず通信が出来なくなるため</t>
    <rPh sb="7" eb="8">
      <t>アイダ</t>
    </rPh>
    <rPh sb="14" eb="16">
      <t>コウチク</t>
    </rPh>
    <rPh sb="19" eb="21">
      <t>ツウシン</t>
    </rPh>
    <rPh sb="22" eb="24">
      <t>デキ</t>
    </rPh>
    <phoneticPr fontId="1"/>
  </si>
  <si>
    <t>WLCの処理能力</t>
    <rPh sb="4" eb="8">
      <t>ショリノウリョク</t>
    </rPh>
    <phoneticPr fontId="1"/>
  </si>
  <si>
    <t>広域イーサネットの帯域</t>
    <rPh sb="0" eb="2">
      <t>コウイキ</t>
    </rPh>
    <rPh sb="9" eb="11">
      <t>タイイキ</t>
    </rPh>
    <phoneticPr fontId="1"/>
  </si>
  <si>
    <t>本社無線LABの津伸もBCを経由するため、広域イーサネット網の通信量が増加する</t>
    <rPh sb="0" eb="2">
      <t>ホンシャ</t>
    </rPh>
    <rPh sb="2" eb="4">
      <t>ムセン</t>
    </rPh>
    <rPh sb="8" eb="10">
      <t>ツシン</t>
    </rPh>
    <rPh sb="14" eb="16">
      <t>ケイユ</t>
    </rPh>
    <rPh sb="21" eb="23">
      <t>コウイキ</t>
    </rPh>
    <rPh sb="29" eb="30">
      <t>アミ</t>
    </rPh>
    <rPh sb="31" eb="34">
      <t>ツウシンリョウ</t>
    </rPh>
    <rPh sb="35" eb="37">
      <t>ゾウカ</t>
    </rPh>
    <phoneticPr fontId="1"/>
  </si>
  <si>
    <t>本社からDCへの通信がBCを経由しなくなる</t>
    <rPh sb="0" eb="2">
      <t>ホンシャ</t>
    </rPh>
    <rPh sb="8" eb="10">
      <t>ツウシン</t>
    </rPh>
    <rPh sb="14" eb="16">
      <t>ケイユ</t>
    </rPh>
    <phoneticPr fontId="1"/>
  </si>
  <si>
    <t>中継運送業者</t>
    <rPh sb="0" eb="2">
      <t>チュウケイ</t>
    </rPh>
    <rPh sb="2" eb="6">
      <t>ウンソウギョウシャ</t>
    </rPh>
    <phoneticPr fontId="1"/>
  </si>
  <si>
    <t>半管理システム</t>
    <rPh sb="0" eb="3">
      <t>ハンカンリ</t>
    </rPh>
    <phoneticPr fontId="1"/>
  </si>
  <si>
    <t>モバイルネットワーク</t>
    <phoneticPr fontId="1"/>
  </si>
  <si>
    <t>タブレットとモバイルはLTE回線</t>
    <rPh sb="14" eb="16">
      <t>カイセン</t>
    </rPh>
    <phoneticPr fontId="1"/>
  </si>
  <si>
    <t>タブレット構成</t>
    <rPh sb="5" eb="7">
      <t>コウセイ</t>
    </rPh>
    <phoneticPr fontId="1"/>
  </si>
  <si>
    <t>無線LANLTE経由</t>
    <rPh sb="0" eb="2">
      <t>ムセン</t>
    </rPh>
    <rPh sb="8" eb="10">
      <t>ケイユ</t>
    </rPh>
    <phoneticPr fontId="1"/>
  </si>
  <si>
    <t>導入予定のモバイルWiFI</t>
    <rPh sb="0" eb="4">
      <t>ドウニュウヨテイ</t>
    </rPh>
    <phoneticPr fontId="1"/>
  </si>
  <si>
    <t>定期的に送信するビーコン信号を停止する</t>
    <rPh sb="0" eb="3">
      <t>テイキテキ</t>
    </rPh>
    <rPh sb="4" eb="6">
      <t>ソウシン</t>
    </rPh>
    <rPh sb="12" eb="14">
      <t>シンゴウ</t>
    </rPh>
    <rPh sb="15" eb="17">
      <t>テイシ</t>
    </rPh>
    <phoneticPr fontId="1"/>
  </si>
  <si>
    <t>SSIDやMACアドレスは暗号化できないため、傍受される</t>
    <rPh sb="13" eb="16">
      <t>アンゴウカ</t>
    </rPh>
    <rPh sb="23" eb="25">
      <t>ボウジュ</t>
    </rPh>
    <phoneticPr fontId="1"/>
  </si>
  <si>
    <t>E</t>
    <phoneticPr fontId="1"/>
  </si>
  <si>
    <t>内部IPアドレスが使われているところはダメ</t>
    <rPh sb="0" eb="2">
      <t>ナイブ</t>
    </rPh>
    <rPh sb="9" eb="10">
      <t>ツカ</t>
    </rPh>
    <phoneticPr fontId="1"/>
  </si>
  <si>
    <t>AES</t>
    <phoneticPr fontId="1"/>
  </si>
  <si>
    <t>IEEE802.1Q</t>
    <phoneticPr fontId="1"/>
  </si>
  <si>
    <t>Simカード</t>
    <phoneticPr fontId="1"/>
  </si>
  <si>
    <t>デフォルトゲートウェイ</t>
    <phoneticPr fontId="1"/>
  </si>
  <si>
    <t>NAPT</t>
    <phoneticPr fontId="1"/>
  </si>
  <si>
    <t>APN</t>
    <phoneticPr fontId="1"/>
  </si>
  <si>
    <t>PSK</t>
    <phoneticPr fontId="1"/>
  </si>
  <si>
    <t>VPN接続の利用者IDを無効する</t>
    <rPh sb="3" eb="5">
      <t>セツゾク</t>
    </rPh>
    <rPh sb="6" eb="9">
      <t>リヨウシャ</t>
    </rPh>
    <rPh sb="12" eb="14">
      <t>ムコウ</t>
    </rPh>
    <phoneticPr fontId="1"/>
  </si>
  <si>
    <t>内部DNSサーバとプロキシサーバへの通信</t>
    <rPh sb="0" eb="2">
      <t>ナイブ</t>
    </rPh>
    <rPh sb="18" eb="20">
      <t>ツウシン</t>
    </rPh>
    <phoneticPr fontId="1"/>
  </si>
  <si>
    <t>a</t>
    <phoneticPr fontId="1"/>
  </si>
  <si>
    <t>b</t>
    <phoneticPr fontId="1"/>
  </si>
  <si>
    <t>c</t>
    <phoneticPr fontId="1"/>
  </si>
  <si>
    <t>d</t>
    <phoneticPr fontId="1"/>
  </si>
  <si>
    <t>e</t>
    <phoneticPr fontId="1"/>
  </si>
  <si>
    <t>f</t>
    <phoneticPr fontId="1"/>
  </si>
  <si>
    <t>g</t>
    <phoneticPr fontId="1"/>
  </si>
  <si>
    <t>h</t>
    <phoneticPr fontId="1"/>
  </si>
  <si>
    <t>i</t>
    <phoneticPr fontId="1"/>
  </si>
  <si>
    <t>j</t>
    <phoneticPr fontId="1"/>
  </si>
  <si>
    <t>5</t>
    <phoneticPr fontId="1"/>
  </si>
  <si>
    <t>6</t>
    <phoneticPr fontId="1"/>
  </si>
  <si>
    <t>Yはネットワーク関連会社</t>
    <rPh sb="8" eb="10">
      <t>カンレン</t>
    </rPh>
    <rPh sb="10" eb="12">
      <t>カイシャ</t>
    </rPh>
    <phoneticPr fontId="1"/>
  </si>
  <si>
    <t>オフィスビルの2フロア</t>
    <phoneticPr fontId="1"/>
  </si>
  <si>
    <t>本社と営業所</t>
    <rPh sb="0" eb="2">
      <t>ホンシャ</t>
    </rPh>
    <rPh sb="3" eb="6">
      <t>エイギョウショ</t>
    </rPh>
    <phoneticPr fontId="1"/>
  </si>
  <si>
    <t>NPCにWiFIルータ</t>
    <phoneticPr fontId="1"/>
  </si>
  <si>
    <t>メール送受信</t>
    <rPh sb="3" eb="6">
      <t>ソウジュシン</t>
    </rPh>
    <phoneticPr fontId="1"/>
  </si>
  <si>
    <t>有線LAN</t>
    <rPh sb="0" eb="2">
      <t>ユウセン</t>
    </rPh>
    <phoneticPr fontId="1"/>
  </si>
  <si>
    <t>同一VLAN</t>
    <rPh sb="0" eb="2">
      <t>ドウイツ</t>
    </rPh>
    <phoneticPr fontId="1"/>
  </si>
  <si>
    <t>オフィスエリア</t>
    <phoneticPr fontId="1"/>
  </si>
  <si>
    <t>来訪者NPC</t>
    <rPh sb="0" eb="3">
      <t>ライホウシャ</t>
    </rPh>
    <phoneticPr fontId="1"/>
  </si>
  <si>
    <t>LTE回線</t>
    <rPh sb="3" eb="5">
      <t>カイセン</t>
    </rPh>
    <phoneticPr fontId="1"/>
  </si>
  <si>
    <t>応接室</t>
    <rPh sb="0" eb="3">
      <t>オウセツシツ</t>
    </rPh>
    <phoneticPr fontId="1"/>
  </si>
  <si>
    <t>wirelesss LAN</t>
    <phoneticPr fontId="1"/>
  </si>
  <si>
    <t>データ暗号化方式</t>
    <rPh sb="3" eb="6">
      <t>アンゴウカ</t>
    </rPh>
    <rPh sb="6" eb="8">
      <t>ホウシキ</t>
    </rPh>
    <phoneticPr fontId="1"/>
  </si>
  <si>
    <t>無線LAN技術</t>
    <rPh sb="0" eb="2">
      <t>ムセン</t>
    </rPh>
    <rPh sb="5" eb="7">
      <t>ギジュツ</t>
    </rPh>
    <phoneticPr fontId="1"/>
  </si>
  <si>
    <t>any</t>
    <phoneticPr fontId="1"/>
  </si>
  <si>
    <t>共通</t>
    <rPh sb="0" eb="2">
      <t>キョウツウ</t>
    </rPh>
    <phoneticPr fontId="1"/>
  </si>
  <si>
    <t>802.11i</t>
    <phoneticPr fontId="1"/>
  </si>
  <si>
    <t>ストリーム</t>
    <phoneticPr fontId="1"/>
  </si>
  <si>
    <t>同一</t>
    <rPh sb="0" eb="2">
      <t>ドウイツ</t>
    </rPh>
    <phoneticPr fontId="1"/>
  </si>
  <si>
    <t>IEEE802.1Xを利用する</t>
    <rPh sb="11" eb="13">
      <t>リヨウ</t>
    </rPh>
    <phoneticPr fontId="1"/>
  </si>
  <si>
    <t>EAP-TLSを利用する</t>
    <rPh sb="8" eb="10">
      <t>リヨウ</t>
    </rPh>
    <phoneticPr fontId="1"/>
  </si>
  <si>
    <t>フロア図をもとに設置検討</t>
    <rPh sb="3" eb="4">
      <t>ズ</t>
    </rPh>
    <rPh sb="8" eb="10">
      <t>セッチ</t>
    </rPh>
    <rPh sb="10" eb="12">
      <t>ケントウ</t>
    </rPh>
    <phoneticPr fontId="1"/>
  </si>
  <si>
    <t>NPCを優先LAN</t>
    <rPh sb="4" eb="6">
      <t>ユウセン</t>
    </rPh>
    <phoneticPr fontId="1"/>
  </si>
  <si>
    <t>MIMOで通信が可能</t>
    <rPh sb="5" eb="7">
      <t>ツウシン</t>
    </rPh>
    <rPh sb="8" eb="10">
      <t>カノウ</t>
    </rPh>
    <phoneticPr fontId="1"/>
  </si>
  <si>
    <t>8chボンディング</t>
    <phoneticPr fontId="1"/>
  </si>
  <si>
    <t>WLCで管理する</t>
    <rPh sb="4" eb="6">
      <t>カンリ</t>
    </rPh>
    <phoneticPr fontId="1"/>
  </si>
  <si>
    <t>有線LAN経由で複数のAP</t>
    <rPh sb="0" eb="2">
      <t>ユウセン</t>
    </rPh>
    <rPh sb="5" eb="7">
      <t>ケイユ</t>
    </rPh>
    <rPh sb="8" eb="10">
      <t>フクスウ</t>
    </rPh>
    <phoneticPr fontId="1"/>
  </si>
  <si>
    <t>APの負荷分散</t>
    <rPh sb="3" eb="7">
      <t>フカブンサン</t>
    </rPh>
    <phoneticPr fontId="1"/>
  </si>
  <si>
    <t>WLCは分散処理可能</t>
    <rPh sb="4" eb="8">
      <t>ブンサンショリ</t>
    </rPh>
    <rPh sb="8" eb="10">
      <t>カノウ</t>
    </rPh>
    <phoneticPr fontId="1"/>
  </si>
  <si>
    <t>APは電波の到達性を顧慮して天井</t>
    <rPh sb="3" eb="5">
      <t>デンパ</t>
    </rPh>
    <rPh sb="6" eb="9">
      <t>トウタツセイ</t>
    </rPh>
    <rPh sb="10" eb="12">
      <t>コリョ</t>
    </rPh>
    <rPh sb="14" eb="16">
      <t>テンジョウ</t>
    </rPh>
    <phoneticPr fontId="1"/>
  </si>
  <si>
    <t>CA機能</t>
    <rPh sb="2" eb="4">
      <t>キノウ</t>
    </rPh>
    <phoneticPr fontId="1"/>
  </si>
  <si>
    <t>サーバー証明書</t>
    <rPh sb="4" eb="7">
      <t>ショウメイショ</t>
    </rPh>
    <phoneticPr fontId="1"/>
  </si>
  <si>
    <t>クライアント証明書</t>
    <rPh sb="6" eb="9">
      <t>ショウメイショ</t>
    </rPh>
    <phoneticPr fontId="1"/>
  </si>
  <si>
    <t>導入するAP</t>
    <rPh sb="0" eb="2">
      <t>ドウニュウ</t>
    </rPh>
    <phoneticPr fontId="1"/>
  </si>
  <si>
    <t>PoE+</t>
    <phoneticPr fontId="1"/>
  </si>
  <si>
    <t>ディジタル証明書の配布方法</t>
    <rPh sb="5" eb="8">
      <t>ショウメイショ</t>
    </rPh>
    <rPh sb="9" eb="13">
      <t>ハイフホウホウ</t>
    </rPh>
    <phoneticPr fontId="1"/>
  </si>
  <si>
    <t>RADIUS</t>
    <phoneticPr fontId="1"/>
  </si>
  <si>
    <t>クライアント証明書を発行するCA</t>
    <rPh sb="6" eb="9">
      <t>ショウメイショ</t>
    </rPh>
    <rPh sb="10" eb="12">
      <t>ハッコウ</t>
    </rPh>
    <phoneticPr fontId="1"/>
  </si>
  <si>
    <t>クライアント証明書は直接インストール</t>
    <rPh sb="6" eb="9">
      <t>ショウメイショ</t>
    </rPh>
    <rPh sb="10" eb="12">
      <t>チョクセツ</t>
    </rPh>
    <phoneticPr fontId="1"/>
  </si>
  <si>
    <t>CAの自己署名証明書</t>
    <rPh sb="3" eb="5">
      <t>ジコ</t>
    </rPh>
    <rPh sb="5" eb="7">
      <t>ショメイ</t>
    </rPh>
    <rPh sb="7" eb="10">
      <t>ショウメイショ</t>
    </rPh>
    <phoneticPr fontId="1"/>
  </si>
  <si>
    <t>季節LANに無線LAN</t>
    <rPh sb="0" eb="2">
      <t>キセツ</t>
    </rPh>
    <rPh sb="6" eb="8">
      <t>ムセン</t>
    </rPh>
    <phoneticPr fontId="1"/>
  </si>
  <si>
    <t>LAN構成</t>
    <rPh sb="3" eb="5">
      <t>コウセイ</t>
    </rPh>
    <phoneticPr fontId="1"/>
  </si>
  <si>
    <t>DHCPサーバでNPCに付与</t>
    <rPh sb="12" eb="14">
      <t>フヨ</t>
    </rPh>
    <phoneticPr fontId="1"/>
  </si>
  <si>
    <t>NPC</t>
    <phoneticPr fontId="1"/>
  </si>
  <si>
    <t>ESSID</t>
    <phoneticPr fontId="1"/>
  </si>
  <si>
    <t>オフィスビルの２フロア</t>
    <phoneticPr fontId="1"/>
  </si>
  <si>
    <t>NPCとWi-Fiルータ</t>
    <phoneticPr fontId="1"/>
  </si>
  <si>
    <t>メールなどに利用されている</t>
    <rPh sb="6" eb="8">
      <t>リヨウ</t>
    </rPh>
    <phoneticPr fontId="1"/>
  </si>
  <si>
    <t>NPCは有線LANに接続して業務</t>
    <rPh sb="4" eb="6">
      <t>ユウセン</t>
    </rPh>
    <rPh sb="10" eb="12">
      <t>セツゾク</t>
    </rPh>
    <rPh sb="14" eb="16">
      <t>ギョウム</t>
    </rPh>
    <phoneticPr fontId="1"/>
  </si>
  <si>
    <t>ネットはプロキシ</t>
    <phoneticPr fontId="1"/>
  </si>
  <si>
    <t>同一LANに属する</t>
    <rPh sb="0" eb="2">
      <t>ドウイツ</t>
    </rPh>
    <rPh sb="6" eb="7">
      <t>ゾク</t>
    </rPh>
    <phoneticPr fontId="1"/>
  </si>
  <si>
    <t>接客エリアの不足</t>
    <rPh sb="0" eb="2">
      <t>セッキャク</t>
    </rPh>
    <rPh sb="6" eb="8">
      <t>フソク</t>
    </rPh>
    <phoneticPr fontId="1"/>
  </si>
  <si>
    <t>来訪者は携帯</t>
    <rPh sb="0" eb="3">
      <t>ライホウシャ</t>
    </rPh>
    <rPh sb="4" eb="6">
      <t>ケイタイ</t>
    </rPh>
    <phoneticPr fontId="1"/>
  </si>
  <si>
    <t>無線LAN技術の調査と選定</t>
    <rPh sb="0" eb="2">
      <t>ムセン</t>
    </rPh>
    <rPh sb="5" eb="7">
      <t>ギジュツ</t>
    </rPh>
    <rPh sb="8" eb="10">
      <t>チョウサ</t>
    </rPh>
    <rPh sb="11" eb="13">
      <t>センテイ</t>
    </rPh>
    <phoneticPr fontId="1"/>
  </si>
  <si>
    <t>802.1Q</t>
    <phoneticPr fontId="1"/>
  </si>
  <si>
    <t>サーバ</t>
    <phoneticPr fontId="1"/>
  </si>
  <si>
    <t>公開鍵</t>
    <rPh sb="0" eb="3">
      <t>コウカイカギ</t>
    </rPh>
    <phoneticPr fontId="1"/>
  </si>
  <si>
    <t>共有鍵</t>
    <rPh sb="0" eb="3">
      <t>キョウユウカギ</t>
    </rPh>
    <phoneticPr fontId="1"/>
  </si>
  <si>
    <t>番号</t>
    <rPh sb="0" eb="2">
      <t>バンゴウ</t>
    </rPh>
    <phoneticPr fontId="1"/>
  </si>
  <si>
    <t>もの</t>
    <phoneticPr fontId="1"/>
  </si>
  <si>
    <t>個数</t>
    <rPh sb="0" eb="2">
      <t>コスウ</t>
    </rPh>
    <phoneticPr fontId="1"/>
  </si>
  <si>
    <t>存在</t>
    <rPh sb="0" eb="2">
      <t>ソンザイ</t>
    </rPh>
    <phoneticPr fontId="1"/>
  </si>
  <si>
    <t>Tシャツ</t>
    <phoneticPr fontId="1"/>
  </si>
  <si>
    <t>ジャケット</t>
    <phoneticPr fontId="1"/>
  </si>
  <si>
    <t>ズボン</t>
    <phoneticPr fontId="1"/>
  </si>
  <si>
    <t>〇</t>
    <phoneticPr fontId="1"/>
  </si>
  <si>
    <t>着替えの服</t>
    <rPh sb="0" eb="2">
      <t>キガ</t>
    </rPh>
    <rPh sb="4" eb="5">
      <t>フク</t>
    </rPh>
    <phoneticPr fontId="1"/>
  </si>
  <si>
    <t>カウンタcをAESで暗号化した結果と暗号文ブロックe1をXORする</t>
    <rPh sb="10" eb="13">
      <t>アンゴウカ</t>
    </rPh>
    <rPh sb="15" eb="17">
      <t>ケッカ</t>
    </rPh>
    <rPh sb="18" eb="21">
      <t>アンゴウブン</t>
    </rPh>
    <phoneticPr fontId="1"/>
  </si>
  <si>
    <t>867M</t>
    <phoneticPr fontId="1"/>
  </si>
  <si>
    <t>80MHz, 2本</t>
    <rPh sb="8" eb="9">
      <t>ホン</t>
    </rPh>
    <phoneticPr fontId="1"/>
  </si>
  <si>
    <t>WLCに障害が起きても通信を継続することが出来る</t>
    <rPh sb="4" eb="6">
      <t>ショウガイ</t>
    </rPh>
    <rPh sb="7" eb="8">
      <t>オ</t>
    </rPh>
    <rPh sb="11" eb="13">
      <t>ツウシン</t>
    </rPh>
    <rPh sb="14" eb="16">
      <t>ケイゾク</t>
    </rPh>
    <rPh sb="21" eb="23">
      <t>デキ</t>
    </rPh>
    <phoneticPr fontId="1"/>
  </si>
  <si>
    <t>WLC付近の帯域を圧迫せずに通信することが出来る</t>
    <rPh sb="3" eb="5">
      <t>フキン</t>
    </rPh>
    <rPh sb="6" eb="8">
      <t>タイイキ</t>
    </rPh>
    <rPh sb="9" eb="11">
      <t>アッパク</t>
    </rPh>
    <rPh sb="14" eb="16">
      <t>ツウシン</t>
    </rPh>
    <rPh sb="21" eb="23">
      <t>デキ</t>
    </rPh>
    <phoneticPr fontId="1"/>
  </si>
  <si>
    <t>電波干渉により通信障害が発生する</t>
    <rPh sb="0" eb="2">
      <t>デンパ</t>
    </rPh>
    <rPh sb="2" eb="4">
      <t>カンショウ</t>
    </rPh>
    <rPh sb="7" eb="9">
      <t>ツウシン</t>
    </rPh>
    <rPh sb="9" eb="11">
      <t>ショウガイ</t>
    </rPh>
    <rPh sb="12" eb="14">
      <t>ハッセイ</t>
    </rPh>
    <phoneticPr fontId="1"/>
  </si>
  <si>
    <t>APの負荷分散を行うため</t>
    <rPh sb="3" eb="7">
      <t>フカブンサン</t>
    </rPh>
    <rPh sb="8" eb="9">
      <t>オコナ</t>
    </rPh>
    <phoneticPr fontId="1"/>
  </si>
  <si>
    <t>CAの自己証明書</t>
    <rPh sb="3" eb="5">
      <t>ジコ</t>
    </rPh>
    <rPh sb="5" eb="8">
      <t>ショウメイショ</t>
    </rPh>
    <phoneticPr fontId="1"/>
  </si>
  <si>
    <t>クライアントの秘密鍵</t>
    <rPh sb="7" eb="10">
      <t>ヒミツカギ</t>
    </rPh>
    <phoneticPr fontId="1"/>
  </si>
  <si>
    <t>DLにアクセスする方法を検討したい</t>
    <rPh sb="9" eb="11">
      <t>ホウホウ</t>
    </rPh>
    <rPh sb="12" eb="14">
      <t>ケントウ</t>
    </rPh>
    <phoneticPr fontId="1"/>
  </si>
  <si>
    <t>本来アクセスすべきでない人が証明書を入手することが出来るようになる</t>
    <rPh sb="0" eb="2">
      <t>ホンライ</t>
    </rPh>
    <rPh sb="12" eb="13">
      <t>ヒト</t>
    </rPh>
    <rPh sb="14" eb="17">
      <t>ショウメイショ</t>
    </rPh>
    <rPh sb="18" eb="20">
      <t>ニュウシュ</t>
    </rPh>
    <rPh sb="25" eb="27">
      <t>デキ</t>
    </rPh>
    <phoneticPr fontId="1"/>
  </si>
  <si>
    <t>無線LAN導入後に営業部に配属された営業員</t>
    <rPh sb="0" eb="2">
      <t>ムセン</t>
    </rPh>
    <rPh sb="5" eb="7">
      <t>ドウニュウ</t>
    </rPh>
    <rPh sb="7" eb="8">
      <t>アト</t>
    </rPh>
    <rPh sb="9" eb="12">
      <t>エイギョウブ</t>
    </rPh>
    <rPh sb="13" eb="15">
      <t>ハイゾク</t>
    </rPh>
    <rPh sb="18" eb="21">
      <t>エイギョウイン</t>
    </rPh>
    <phoneticPr fontId="1"/>
  </si>
  <si>
    <t>WLC</t>
    <phoneticPr fontId="1"/>
  </si>
  <si>
    <t>ルータ2への接続ポートだけにVLANを設定する</t>
    <rPh sb="6" eb="8">
      <t>セツゾク</t>
    </rPh>
    <rPh sb="19" eb="21">
      <t>セッテイ</t>
    </rPh>
    <phoneticPr fontId="1"/>
  </si>
  <si>
    <t>ハングオーバーできなくなる</t>
    <phoneticPr fontId="1"/>
  </si>
  <si>
    <t>NPCに配布したPMKと認証関連情報がWLCで保持されているため</t>
    <rPh sb="4" eb="6">
      <t>ハイフ</t>
    </rPh>
    <rPh sb="12" eb="14">
      <t>ニンショウ</t>
    </rPh>
    <rPh sb="14" eb="18">
      <t>カンレンジョウホウ</t>
    </rPh>
    <rPh sb="23" eb="25">
      <t>ホジ</t>
    </rPh>
    <phoneticPr fontId="1"/>
  </si>
  <si>
    <t>オフィスビル</t>
    <phoneticPr fontId="1"/>
  </si>
  <si>
    <t>複数営業所</t>
    <rPh sb="0" eb="2">
      <t>フクスウ</t>
    </rPh>
    <rPh sb="2" eb="5">
      <t>エイギョウショ</t>
    </rPh>
    <phoneticPr fontId="1"/>
  </si>
  <si>
    <t>本社営業部に営業委</t>
    <rPh sb="0" eb="2">
      <t>ホンシャ</t>
    </rPh>
    <rPh sb="2" eb="5">
      <t>エイギョウブ</t>
    </rPh>
    <rPh sb="6" eb="9">
      <t>エイギョウイ</t>
    </rPh>
    <phoneticPr fontId="1"/>
  </si>
  <si>
    <t>NPCとWiFIルータ</t>
    <phoneticPr fontId="1"/>
  </si>
  <si>
    <t>同一LANで運用</t>
    <rPh sb="0" eb="2">
      <t>ドウイツ</t>
    </rPh>
    <rPh sb="6" eb="8">
      <t>ウンヨウ</t>
    </rPh>
    <phoneticPr fontId="1"/>
  </si>
  <si>
    <t>LTE回線</t>
    <rPh sb="3" eb="5">
      <t>カイセン</t>
    </rPh>
    <phoneticPr fontId="1"/>
  </si>
  <si>
    <t>接客エリアの確保</t>
    <rPh sb="0" eb="2">
      <t>セッキャク</t>
    </rPh>
    <rPh sb="6" eb="8">
      <t>カクホ</t>
    </rPh>
    <phoneticPr fontId="1"/>
  </si>
  <si>
    <t>NPC→LTE回線でネット利用</t>
    <rPh sb="7" eb="9">
      <t>カイセン</t>
    </rPh>
    <rPh sb="13" eb="15">
      <t>リヨウ</t>
    </rPh>
    <phoneticPr fontId="1"/>
  </si>
  <si>
    <t>ルータを持たないのでネット</t>
    <rPh sb="4" eb="5">
      <t>モ</t>
    </rPh>
    <phoneticPr fontId="1"/>
  </si>
  <si>
    <t>オフィスエリアを縮小</t>
    <rPh sb="8" eb="10">
      <t>シュクショウ</t>
    </rPh>
    <phoneticPr fontId="1"/>
  </si>
  <si>
    <t>無線LANの設計と調査</t>
    <rPh sb="0" eb="2">
      <t>ムセン</t>
    </rPh>
    <rPh sb="6" eb="8">
      <t>セッケイ</t>
    </rPh>
    <rPh sb="9" eb="11">
      <t>チョウサ</t>
    </rPh>
    <phoneticPr fontId="1"/>
  </si>
  <si>
    <t>技術を調査</t>
    <rPh sb="0" eb="2">
      <t>ギジュツ</t>
    </rPh>
    <rPh sb="3" eb="5">
      <t>チョウサ</t>
    </rPh>
    <phoneticPr fontId="1"/>
  </si>
  <si>
    <t>any</t>
    <phoneticPr fontId="1"/>
  </si>
  <si>
    <t>SSID隠蔽</t>
    <rPh sb="4" eb="6">
      <t>インペイ</t>
    </rPh>
    <phoneticPr fontId="1"/>
  </si>
  <si>
    <t>アドレスフィルタリング</t>
    <phoneticPr fontId="1"/>
  </si>
  <si>
    <t>802.1X認証</t>
    <rPh sb="6" eb="8">
      <t>ニンショウ</t>
    </rPh>
    <phoneticPr fontId="1"/>
  </si>
  <si>
    <t>公開</t>
    <rPh sb="0" eb="2">
      <t>コウカイ</t>
    </rPh>
    <phoneticPr fontId="1"/>
  </si>
  <si>
    <t xml:space="preserve">    </t>
    <phoneticPr fontId="1"/>
  </si>
  <si>
    <t>ストリーム</t>
    <phoneticPr fontId="1"/>
  </si>
  <si>
    <t>同一</t>
    <rPh sb="0" eb="2">
      <t>ドウイツ</t>
    </rPh>
    <phoneticPr fontId="1"/>
  </si>
  <si>
    <t>認証サーバ</t>
    <rPh sb="0" eb="2">
      <t>ニンショウ</t>
    </rPh>
    <phoneticPr fontId="1"/>
  </si>
  <si>
    <t>秘密鍵</t>
    <rPh sb="0" eb="3">
      <t>ヒミツカギ</t>
    </rPh>
    <phoneticPr fontId="1"/>
  </si>
  <si>
    <t>鍵共有</t>
    <rPh sb="0" eb="1">
      <t>カギ</t>
    </rPh>
    <rPh sb="1" eb="3">
      <t>キョウユウ</t>
    </rPh>
    <phoneticPr fontId="1"/>
  </si>
  <si>
    <t>平文とのXORを算出した後に共通鍵により復号化する</t>
    <rPh sb="0" eb="2">
      <t>ヒラブン</t>
    </rPh>
    <rPh sb="8" eb="10">
      <t>サンシュツ</t>
    </rPh>
    <rPh sb="12" eb="13">
      <t>アト</t>
    </rPh>
    <rPh sb="14" eb="17">
      <t>キョウツウカギ</t>
    </rPh>
    <rPh sb="20" eb="23">
      <t>フクゴウカ</t>
    </rPh>
    <phoneticPr fontId="1"/>
  </si>
  <si>
    <t>80MHz、2本</t>
    <rPh sb="7" eb="8">
      <t>ホン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</si>
</sst>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font>
      <sz val="11"/>
      <color theme="1"/>
      <name val="Yu Gothic"/>
      <family val="2"/>
      <scheme val="minor"/>
    </font>
    <font>
      <sz val="6"/>
      <name val="Yu Gothic"/>
      <family val="3"/>
      <charset val="128"/>
      <scheme val="minor"/>
    </font>
    <font>
      <sz val="11"/>
      <color rgb="FF000000"/>
      <name val="Yu Gothic"/>
      <family val="3"/>
      <charset val="128"/>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wrapText="1"/>
    </xf>
    <xf numFmtId="49" fontId="0" fillId="0" borderId="0" xfId="0" applyNumberFormat="1"/>
    <xf numFmtId="49" fontId="0" fillId="0" borderId="0" xfId="0" applyNumberFormat="1" applyAlignment="1">
      <alignment wrapText="1"/>
    </xf>
    <xf numFmtId="49" fontId="0" fillId="0" borderId="0" xfId="0" applyNumberFormat="1" applyAlignment="1">
      <alignment horizontal="center"/>
    </xf>
    <xf numFmtId="0" fontId="0" fillId="0" borderId="0" xfId="0" applyAlignment="1">
      <alignment horizontal="left" wrapText="1"/>
    </xf>
    <xf numFmtId="49" fontId="0" fillId="0" borderId="0" xfId="0" applyNumberFormat="1" applyAlignment="1">
      <alignment horizontal="left"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142875</xdr:colOff>
          <xdr:row>1</xdr:row>
          <xdr:rowOff>38100</xdr:rowOff>
        </xdr:from>
        <xdr:to>
          <xdr:col>14</xdr:col>
          <xdr:colOff>590550</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シート作成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200025</xdr:colOff>
          <xdr:row>3</xdr:row>
          <xdr:rowOff>104775</xdr:rowOff>
        </xdr:from>
        <xdr:to>
          <xdr:col>14</xdr:col>
          <xdr:colOff>571500</xdr:colOff>
          <xdr:row>4</xdr:row>
          <xdr:rowOff>171450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集計</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8EC62-6D75-4E9D-B77E-7094BE41A7A1}">
  <sheetPr codeName="Sheet2"/>
  <dimension ref="A1:F1"/>
  <sheetViews>
    <sheetView workbookViewId="0">
      <selection activeCell="A2" sqref="A2:E5"/>
    </sheetView>
  </sheetViews>
  <sheetFormatPr defaultRowHeight="18.75"/>
  <cols>
    <col min="2" max="3" width="9" style="2"/>
  </cols>
  <sheetData>
    <row r="1" spans="1:6">
      <c r="A1" t="s">
        <v>11</v>
      </c>
      <c r="B1" s="2" t="s">
        <v>7</v>
      </c>
      <c r="C1" s="2" t="s">
        <v>8</v>
      </c>
      <c r="D1" t="s">
        <v>9</v>
      </c>
      <c r="E1" t="s">
        <v>5</v>
      </c>
      <c r="F1" t="s">
        <v>10</v>
      </c>
    </row>
  </sheetData>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ddSheetWithSerialNumber">
                <anchor moveWithCells="1" sizeWithCells="1">
                  <from>
                    <xdr:col>13</xdr:col>
                    <xdr:colOff>142875</xdr:colOff>
                    <xdr:row>1</xdr:row>
                    <xdr:rowOff>38100</xdr:rowOff>
                  </from>
                  <to>
                    <xdr:col>14</xdr:col>
                    <xdr:colOff>590550</xdr:colOff>
                    <xdr:row>2</xdr:row>
                    <xdr:rowOff>114300</xdr:rowOff>
                  </to>
                </anchor>
              </controlPr>
            </control>
          </mc:Choice>
        </mc:AlternateContent>
        <mc:AlternateContent xmlns:mc="http://schemas.openxmlformats.org/markup-compatibility/2006">
          <mc:Choice Requires="x14">
            <control shapeId="1026" r:id="rId4" name="Button 2">
              <controlPr defaultSize="0" print="0" autoFill="0" autoPict="0" macro="[0]!GetInformationArchive">
                <anchor moveWithCells="1" sizeWithCells="1">
                  <from>
                    <xdr:col>13</xdr:col>
                    <xdr:colOff>200025</xdr:colOff>
                    <xdr:row>3</xdr:row>
                    <xdr:rowOff>104775</xdr:rowOff>
                  </from>
                  <to>
                    <xdr:col>14</xdr:col>
                    <xdr:colOff>571500</xdr:colOff>
                    <xdr:row>4</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9978A-10F6-4DA3-9F55-46A14E19160E}">
  <sheetPr codeName="Sheet3"/>
  <dimension ref="A1:E167"/>
  <sheetViews>
    <sheetView zoomScale="85" zoomScaleNormal="85" workbookViewId="0">
      <pane xSplit="1" ySplit="3" topLeftCell="B4" activePane="bottomRight" state="frozen"/>
      <selection pane="topRight" activeCell="B1" sqref="B1"/>
      <selection pane="bottomLeft" activeCell="A4" sqref="A4"/>
      <selection pane="bottomRight" activeCell="B12" sqref="B12"/>
    </sheetView>
  </sheetViews>
  <sheetFormatPr defaultRowHeight="18.75"/>
  <cols>
    <col min="1" max="1" width="8.75" style="2"/>
    <col min="2" max="2" width="96.875" style="1" customWidth="1"/>
    <col min="3" max="3" width="9.75" customWidth="1"/>
  </cols>
  <sheetData>
    <row r="1" spans="1:5">
      <c r="A1" s="2" t="s">
        <v>0</v>
      </c>
    </row>
    <row r="2" spans="1:5">
      <c r="A2" s="2" t="s">
        <v>2</v>
      </c>
      <c r="B2" s="3"/>
      <c r="D2">
        <f>SUM(D4:D1000)</f>
        <v>0</v>
      </c>
      <c r="E2">
        <f>SUM(E4:E1000)</f>
        <v>0</v>
      </c>
    </row>
    <row r="3" spans="1:5">
      <c r="A3" s="2" t="s">
        <v>1</v>
      </c>
      <c r="B3" s="1" t="s">
        <v>3</v>
      </c>
      <c r="C3" t="s">
        <v>6</v>
      </c>
      <c r="D3" t="s">
        <v>4</v>
      </c>
      <c r="E3" t="s">
        <v>5</v>
      </c>
    </row>
    <row r="4" spans="1:5">
      <c r="C4" t="str">
        <f>IF(B4&lt;&gt;"",LEN(B4),"")</f>
        <v/>
      </c>
    </row>
    <row r="5" spans="1:5">
      <c r="C5" t="str">
        <f t="shared" ref="C5:C68" si="0">IF(B5&lt;&gt;"",LEN(B5),"")</f>
        <v/>
      </c>
    </row>
    <row r="6" spans="1:5">
      <c r="C6" t="str">
        <f t="shared" si="0"/>
        <v/>
      </c>
    </row>
    <row r="7" spans="1:5">
      <c r="C7" t="str">
        <f t="shared" si="0"/>
        <v/>
      </c>
    </row>
    <row r="8" spans="1:5">
      <c r="C8" t="str">
        <f t="shared" si="0"/>
        <v/>
      </c>
    </row>
    <row r="9" spans="1:5">
      <c r="C9" t="str">
        <f t="shared" si="0"/>
        <v/>
      </c>
    </row>
    <row r="10" spans="1:5">
      <c r="C10" t="str">
        <f t="shared" si="0"/>
        <v/>
      </c>
    </row>
    <row r="11" spans="1:5">
      <c r="C11" t="str">
        <f t="shared" si="0"/>
        <v/>
      </c>
    </row>
    <row r="12" spans="1:5">
      <c r="C12" t="str">
        <f t="shared" si="0"/>
        <v/>
      </c>
    </row>
    <row r="13" spans="1:5">
      <c r="C13" t="str">
        <f t="shared" si="0"/>
        <v/>
      </c>
    </row>
    <row r="14" spans="1:5">
      <c r="C14" t="str">
        <f t="shared" si="0"/>
        <v/>
      </c>
    </row>
    <row r="15" spans="1:5">
      <c r="C15" t="str">
        <f t="shared" si="0"/>
        <v/>
      </c>
    </row>
    <row r="16" spans="1:5">
      <c r="C16" t="str">
        <f t="shared" si="0"/>
        <v/>
      </c>
    </row>
    <row r="17" spans="3:3">
      <c r="C17" t="str">
        <f t="shared" si="0"/>
        <v/>
      </c>
    </row>
    <row r="18" spans="3:3">
      <c r="C18" t="str">
        <f t="shared" si="0"/>
        <v/>
      </c>
    </row>
    <row r="19" spans="3:3">
      <c r="C19" t="str">
        <f t="shared" si="0"/>
        <v/>
      </c>
    </row>
    <row r="20" spans="3:3">
      <c r="C20" t="str">
        <f t="shared" si="0"/>
        <v/>
      </c>
    </row>
    <row r="21" spans="3:3">
      <c r="C21" t="str">
        <f t="shared" si="0"/>
        <v/>
      </c>
    </row>
    <row r="22" spans="3:3">
      <c r="C22" t="str">
        <f t="shared" si="0"/>
        <v/>
      </c>
    </row>
    <row r="23" spans="3:3">
      <c r="C23" t="str">
        <f t="shared" si="0"/>
        <v/>
      </c>
    </row>
    <row r="24" spans="3:3">
      <c r="C24" t="str">
        <f t="shared" si="0"/>
        <v/>
      </c>
    </row>
    <row r="25" spans="3:3">
      <c r="C25" t="str">
        <f t="shared" si="0"/>
        <v/>
      </c>
    </row>
    <row r="26" spans="3:3">
      <c r="C26" t="str">
        <f t="shared" si="0"/>
        <v/>
      </c>
    </row>
    <row r="27" spans="3:3">
      <c r="C27" t="str">
        <f t="shared" si="0"/>
        <v/>
      </c>
    </row>
    <row r="28" spans="3:3">
      <c r="C28" t="str">
        <f t="shared" si="0"/>
        <v/>
      </c>
    </row>
    <row r="29" spans="3:3">
      <c r="C29" t="str">
        <f t="shared" si="0"/>
        <v/>
      </c>
    </row>
    <row r="30" spans="3:3">
      <c r="C30" t="str">
        <f t="shared" si="0"/>
        <v/>
      </c>
    </row>
    <row r="31" spans="3:3">
      <c r="C31" t="str">
        <f t="shared" si="0"/>
        <v/>
      </c>
    </row>
    <row r="32" spans="3:3">
      <c r="C32" t="str">
        <f t="shared" si="0"/>
        <v/>
      </c>
    </row>
    <row r="33" spans="3:3">
      <c r="C33" t="str">
        <f t="shared" si="0"/>
        <v/>
      </c>
    </row>
    <row r="34" spans="3:3">
      <c r="C34" t="str">
        <f t="shared" si="0"/>
        <v/>
      </c>
    </row>
    <row r="35" spans="3:3">
      <c r="C35" t="str">
        <f t="shared" si="0"/>
        <v/>
      </c>
    </row>
    <row r="36" spans="3:3">
      <c r="C36" t="str">
        <f t="shared" si="0"/>
        <v/>
      </c>
    </row>
    <row r="37" spans="3:3">
      <c r="C37" t="str">
        <f t="shared" si="0"/>
        <v/>
      </c>
    </row>
    <row r="38" spans="3:3">
      <c r="C38" t="str">
        <f t="shared" si="0"/>
        <v/>
      </c>
    </row>
    <row r="39" spans="3:3">
      <c r="C39" t="str">
        <f t="shared" si="0"/>
        <v/>
      </c>
    </row>
    <row r="40" spans="3:3">
      <c r="C40" t="str">
        <f t="shared" si="0"/>
        <v/>
      </c>
    </row>
    <row r="41" spans="3:3">
      <c r="C41" t="str">
        <f t="shared" si="0"/>
        <v/>
      </c>
    </row>
    <row r="42" spans="3:3">
      <c r="C42" t="str">
        <f t="shared" si="0"/>
        <v/>
      </c>
    </row>
    <row r="43" spans="3:3">
      <c r="C43" t="str">
        <f t="shared" si="0"/>
        <v/>
      </c>
    </row>
    <row r="44" spans="3:3">
      <c r="C44" t="str">
        <f t="shared" si="0"/>
        <v/>
      </c>
    </row>
    <row r="45" spans="3:3">
      <c r="C45" t="str">
        <f t="shared" si="0"/>
        <v/>
      </c>
    </row>
    <row r="46" spans="3:3">
      <c r="C46" t="str">
        <f t="shared" si="0"/>
        <v/>
      </c>
    </row>
    <row r="47" spans="3:3">
      <c r="C47" t="str">
        <f t="shared" si="0"/>
        <v/>
      </c>
    </row>
    <row r="48" spans="3:3">
      <c r="C48" t="str">
        <f t="shared" si="0"/>
        <v/>
      </c>
    </row>
    <row r="49" spans="3:3">
      <c r="C49" t="str">
        <f t="shared" si="0"/>
        <v/>
      </c>
    </row>
    <row r="50" spans="3:3">
      <c r="C50" t="str">
        <f t="shared" si="0"/>
        <v/>
      </c>
    </row>
    <row r="51" spans="3:3">
      <c r="C51" t="str">
        <f t="shared" si="0"/>
        <v/>
      </c>
    </row>
    <row r="52" spans="3:3">
      <c r="C52" t="str">
        <f t="shared" si="0"/>
        <v/>
      </c>
    </row>
    <row r="53" spans="3:3">
      <c r="C53" t="str">
        <f t="shared" si="0"/>
        <v/>
      </c>
    </row>
    <row r="54" spans="3:3">
      <c r="C54" t="str">
        <f t="shared" si="0"/>
        <v/>
      </c>
    </row>
    <row r="55" spans="3:3">
      <c r="C55" t="str">
        <f t="shared" si="0"/>
        <v/>
      </c>
    </row>
    <row r="56" spans="3:3">
      <c r="C56" t="str">
        <f t="shared" si="0"/>
        <v/>
      </c>
    </row>
    <row r="57" spans="3:3">
      <c r="C57" t="str">
        <f t="shared" si="0"/>
        <v/>
      </c>
    </row>
    <row r="58" spans="3:3">
      <c r="C58" t="str">
        <f t="shared" si="0"/>
        <v/>
      </c>
    </row>
    <row r="59" spans="3:3">
      <c r="C59" t="str">
        <f t="shared" si="0"/>
        <v/>
      </c>
    </row>
    <row r="60" spans="3:3">
      <c r="C60" t="str">
        <f t="shared" si="0"/>
        <v/>
      </c>
    </row>
    <row r="61" spans="3:3">
      <c r="C61" t="str">
        <f t="shared" si="0"/>
        <v/>
      </c>
    </row>
    <row r="62" spans="3:3">
      <c r="C62" t="str">
        <f t="shared" si="0"/>
        <v/>
      </c>
    </row>
    <row r="63" spans="3:3">
      <c r="C63" t="str">
        <f t="shared" si="0"/>
        <v/>
      </c>
    </row>
    <row r="64" spans="3:3">
      <c r="C64" t="str">
        <f t="shared" si="0"/>
        <v/>
      </c>
    </row>
    <row r="65" spans="3:3">
      <c r="C65" t="str">
        <f t="shared" si="0"/>
        <v/>
      </c>
    </row>
    <row r="66" spans="3:3">
      <c r="C66" t="str">
        <f t="shared" si="0"/>
        <v/>
      </c>
    </row>
    <row r="67" spans="3:3">
      <c r="C67" t="str">
        <f t="shared" si="0"/>
        <v/>
      </c>
    </row>
    <row r="68" spans="3:3">
      <c r="C68" t="str">
        <f t="shared" si="0"/>
        <v/>
      </c>
    </row>
    <row r="69" spans="3:3">
      <c r="C69" t="str">
        <f t="shared" ref="C69:C132" si="1">IF(B69&lt;&gt;"",LEN(B69),"")</f>
        <v/>
      </c>
    </row>
    <row r="70" spans="3:3">
      <c r="C70" t="str">
        <f t="shared" si="1"/>
        <v/>
      </c>
    </row>
    <row r="71" spans="3:3">
      <c r="C71" t="str">
        <f t="shared" si="1"/>
        <v/>
      </c>
    </row>
    <row r="72" spans="3:3">
      <c r="C72" t="str">
        <f t="shared" si="1"/>
        <v/>
      </c>
    </row>
    <row r="73" spans="3:3">
      <c r="C73" t="str">
        <f t="shared" si="1"/>
        <v/>
      </c>
    </row>
    <row r="74" spans="3:3">
      <c r="C74" t="str">
        <f t="shared" si="1"/>
        <v/>
      </c>
    </row>
    <row r="75" spans="3:3">
      <c r="C75" t="str">
        <f t="shared" si="1"/>
        <v/>
      </c>
    </row>
    <row r="76" spans="3:3">
      <c r="C76" t="str">
        <f t="shared" si="1"/>
        <v/>
      </c>
    </row>
    <row r="77" spans="3:3">
      <c r="C77" t="str">
        <f t="shared" si="1"/>
        <v/>
      </c>
    </row>
    <row r="78" spans="3:3">
      <c r="C78" t="str">
        <f t="shared" si="1"/>
        <v/>
      </c>
    </row>
    <row r="79" spans="3:3">
      <c r="C79" t="str">
        <f t="shared" si="1"/>
        <v/>
      </c>
    </row>
    <row r="80" spans="3:3">
      <c r="C80" t="str">
        <f t="shared" si="1"/>
        <v/>
      </c>
    </row>
    <row r="81" spans="3:3">
      <c r="C81" t="str">
        <f t="shared" si="1"/>
        <v/>
      </c>
    </row>
    <row r="82" spans="3:3">
      <c r="C82" t="str">
        <f t="shared" si="1"/>
        <v/>
      </c>
    </row>
    <row r="83" spans="3:3">
      <c r="C83" t="str">
        <f t="shared" si="1"/>
        <v/>
      </c>
    </row>
    <row r="84" spans="3:3">
      <c r="C84" t="str">
        <f t="shared" si="1"/>
        <v/>
      </c>
    </row>
    <row r="85" spans="3:3">
      <c r="C85" t="str">
        <f t="shared" si="1"/>
        <v/>
      </c>
    </row>
    <row r="86" spans="3:3">
      <c r="C86" t="str">
        <f t="shared" si="1"/>
        <v/>
      </c>
    </row>
    <row r="87" spans="3:3">
      <c r="C87" t="str">
        <f t="shared" si="1"/>
        <v/>
      </c>
    </row>
    <row r="88" spans="3:3">
      <c r="C88" t="str">
        <f t="shared" si="1"/>
        <v/>
      </c>
    </row>
    <row r="89" spans="3:3">
      <c r="C89" t="str">
        <f t="shared" si="1"/>
        <v/>
      </c>
    </row>
    <row r="90" spans="3:3">
      <c r="C90" t="str">
        <f t="shared" si="1"/>
        <v/>
      </c>
    </row>
    <row r="91" spans="3:3">
      <c r="C91" t="str">
        <f t="shared" si="1"/>
        <v/>
      </c>
    </row>
    <row r="92" spans="3:3">
      <c r="C92" t="str">
        <f t="shared" si="1"/>
        <v/>
      </c>
    </row>
    <row r="93" spans="3:3">
      <c r="C93" t="str">
        <f t="shared" si="1"/>
        <v/>
      </c>
    </row>
    <row r="94" spans="3:3">
      <c r="C94" t="str">
        <f t="shared" si="1"/>
        <v/>
      </c>
    </row>
    <row r="95" spans="3:3">
      <c r="C95" t="str">
        <f t="shared" si="1"/>
        <v/>
      </c>
    </row>
    <row r="96" spans="3:3">
      <c r="C96" t="str">
        <f t="shared" si="1"/>
        <v/>
      </c>
    </row>
    <row r="97" spans="3:3">
      <c r="C97" t="str">
        <f t="shared" si="1"/>
        <v/>
      </c>
    </row>
    <row r="98" spans="3:3">
      <c r="C98" t="str">
        <f t="shared" si="1"/>
        <v/>
      </c>
    </row>
    <row r="99" spans="3:3">
      <c r="C99" t="str">
        <f t="shared" si="1"/>
        <v/>
      </c>
    </row>
    <row r="100" spans="3:3">
      <c r="C100" t="str">
        <f t="shared" si="1"/>
        <v/>
      </c>
    </row>
    <row r="101" spans="3:3">
      <c r="C101" t="str">
        <f t="shared" si="1"/>
        <v/>
      </c>
    </row>
    <row r="102" spans="3:3">
      <c r="C102" t="str">
        <f t="shared" si="1"/>
        <v/>
      </c>
    </row>
    <row r="103" spans="3:3">
      <c r="C103" t="str">
        <f t="shared" si="1"/>
        <v/>
      </c>
    </row>
    <row r="104" spans="3:3">
      <c r="C104" t="str">
        <f t="shared" si="1"/>
        <v/>
      </c>
    </row>
    <row r="105" spans="3:3">
      <c r="C105" t="str">
        <f t="shared" si="1"/>
        <v/>
      </c>
    </row>
    <row r="106" spans="3:3">
      <c r="C106" t="str">
        <f t="shared" si="1"/>
        <v/>
      </c>
    </row>
    <row r="107" spans="3:3">
      <c r="C107" t="str">
        <f t="shared" si="1"/>
        <v/>
      </c>
    </row>
    <row r="108" spans="3:3">
      <c r="C108" t="str">
        <f t="shared" si="1"/>
        <v/>
      </c>
    </row>
    <row r="109" spans="3:3">
      <c r="C109" t="str">
        <f t="shared" si="1"/>
        <v/>
      </c>
    </row>
    <row r="110" spans="3:3">
      <c r="C110" t="str">
        <f t="shared" si="1"/>
        <v/>
      </c>
    </row>
    <row r="111" spans="3:3">
      <c r="C111" t="str">
        <f t="shared" si="1"/>
        <v/>
      </c>
    </row>
    <row r="112" spans="3:3">
      <c r="C112" t="str">
        <f t="shared" si="1"/>
        <v/>
      </c>
    </row>
    <row r="113" spans="3:3">
      <c r="C113" t="str">
        <f t="shared" si="1"/>
        <v/>
      </c>
    </row>
    <row r="114" spans="3:3">
      <c r="C114" t="str">
        <f t="shared" si="1"/>
        <v/>
      </c>
    </row>
    <row r="115" spans="3:3">
      <c r="C115" t="str">
        <f t="shared" si="1"/>
        <v/>
      </c>
    </row>
    <row r="116" spans="3:3">
      <c r="C116" t="str">
        <f t="shared" si="1"/>
        <v/>
      </c>
    </row>
    <row r="117" spans="3:3">
      <c r="C117" t="str">
        <f t="shared" si="1"/>
        <v/>
      </c>
    </row>
    <row r="118" spans="3:3">
      <c r="C118" t="str">
        <f t="shared" si="1"/>
        <v/>
      </c>
    </row>
    <row r="119" spans="3:3">
      <c r="C119" t="str">
        <f t="shared" si="1"/>
        <v/>
      </c>
    </row>
    <row r="120" spans="3:3">
      <c r="C120" t="str">
        <f t="shared" si="1"/>
        <v/>
      </c>
    </row>
    <row r="121" spans="3:3">
      <c r="C121" t="str">
        <f t="shared" si="1"/>
        <v/>
      </c>
    </row>
    <row r="122" spans="3:3">
      <c r="C122" t="str">
        <f t="shared" si="1"/>
        <v/>
      </c>
    </row>
    <row r="123" spans="3:3">
      <c r="C123" t="str">
        <f t="shared" si="1"/>
        <v/>
      </c>
    </row>
    <row r="124" spans="3:3">
      <c r="C124" t="str">
        <f t="shared" si="1"/>
        <v/>
      </c>
    </row>
    <row r="125" spans="3:3">
      <c r="C125" t="str">
        <f t="shared" si="1"/>
        <v/>
      </c>
    </row>
    <row r="126" spans="3:3">
      <c r="C126" t="str">
        <f t="shared" si="1"/>
        <v/>
      </c>
    </row>
    <row r="127" spans="3:3">
      <c r="C127" t="str">
        <f t="shared" si="1"/>
        <v/>
      </c>
    </row>
    <row r="128" spans="3:3">
      <c r="C128" t="str">
        <f t="shared" si="1"/>
        <v/>
      </c>
    </row>
    <row r="129" spans="3:3">
      <c r="C129" t="str">
        <f t="shared" si="1"/>
        <v/>
      </c>
    </row>
    <row r="130" spans="3:3">
      <c r="C130" t="str">
        <f t="shared" si="1"/>
        <v/>
      </c>
    </row>
    <row r="131" spans="3:3">
      <c r="C131" t="str">
        <f t="shared" si="1"/>
        <v/>
      </c>
    </row>
    <row r="132" spans="3:3">
      <c r="C132" t="str">
        <f t="shared" si="1"/>
        <v/>
      </c>
    </row>
    <row r="133" spans="3:3">
      <c r="C133" t="str">
        <f t="shared" ref="C133:C167" si="2">IF(B133&lt;&gt;"",LEN(B133),"")</f>
        <v/>
      </c>
    </row>
    <row r="134" spans="3:3">
      <c r="C134" t="str">
        <f t="shared" si="2"/>
        <v/>
      </c>
    </row>
    <row r="135" spans="3:3">
      <c r="C135" t="str">
        <f t="shared" si="2"/>
        <v/>
      </c>
    </row>
    <row r="136" spans="3:3">
      <c r="C136" t="str">
        <f t="shared" si="2"/>
        <v/>
      </c>
    </row>
    <row r="137" spans="3:3">
      <c r="C137" t="str">
        <f t="shared" si="2"/>
        <v/>
      </c>
    </row>
    <row r="138" spans="3:3">
      <c r="C138" t="str">
        <f t="shared" si="2"/>
        <v/>
      </c>
    </row>
    <row r="139" spans="3:3">
      <c r="C139" t="str">
        <f t="shared" si="2"/>
        <v/>
      </c>
    </row>
    <row r="140" spans="3:3">
      <c r="C140" t="str">
        <f t="shared" si="2"/>
        <v/>
      </c>
    </row>
    <row r="141" spans="3:3">
      <c r="C141" t="str">
        <f t="shared" si="2"/>
        <v/>
      </c>
    </row>
    <row r="142" spans="3:3">
      <c r="C142" t="str">
        <f t="shared" si="2"/>
        <v/>
      </c>
    </row>
    <row r="143" spans="3:3">
      <c r="C143" t="str">
        <f t="shared" si="2"/>
        <v/>
      </c>
    </row>
    <row r="144" spans="3:3">
      <c r="C144" t="str">
        <f t="shared" si="2"/>
        <v/>
      </c>
    </row>
    <row r="145" spans="3:3">
      <c r="C145" t="str">
        <f t="shared" si="2"/>
        <v/>
      </c>
    </row>
    <row r="146" spans="3:3">
      <c r="C146" t="str">
        <f t="shared" si="2"/>
        <v/>
      </c>
    </row>
    <row r="147" spans="3:3">
      <c r="C147" t="str">
        <f t="shared" si="2"/>
        <v/>
      </c>
    </row>
    <row r="148" spans="3:3">
      <c r="C148" t="str">
        <f t="shared" si="2"/>
        <v/>
      </c>
    </row>
    <row r="149" spans="3:3">
      <c r="C149" t="str">
        <f t="shared" si="2"/>
        <v/>
      </c>
    </row>
    <row r="150" spans="3:3">
      <c r="C150" t="str">
        <f t="shared" si="2"/>
        <v/>
      </c>
    </row>
    <row r="151" spans="3:3">
      <c r="C151" t="str">
        <f t="shared" si="2"/>
        <v/>
      </c>
    </row>
    <row r="152" spans="3:3">
      <c r="C152" t="str">
        <f t="shared" si="2"/>
        <v/>
      </c>
    </row>
    <row r="153" spans="3:3">
      <c r="C153" t="str">
        <f t="shared" si="2"/>
        <v/>
      </c>
    </row>
    <row r="154" spans="3:3">
      <c r="C154" t="str">
        <f t="shared" si="2"/>
        <v/>
      </c>
    </row>
    <row r="155" spans="3:3">
      <c r="C155" t="str">
        <f t="shared" si="2"/>
        <v/>
      </c>
    </row>
    <row r="156" spans="3:3">
      <c r="C156" t="str">
        <f t="shared" si="2"/>
        <v/>
      </c>
    </row>
    <row r="157" spans="3:3">
      <c r="C157" t="str">
        <f t="shared" si="2"/>
        <v/>
      </c>
    </row>
    <row r="158" spans="3:3">
      <c r="C158" t="str">
        <f t="shared" si="2"/>
        <v/>
      </c>
    </row>
    <row r="159" spans="3:3">
      <c r="C159" t="str">
        <f t="shared" si="2"/>
        <v/>
      </c>
    </row>
    <row r="160" spans="3:3">
      <c r="C160" t="str">
        <f t="shared" si="2"/>
        <v/>
      </c>
    </row>
    <row r="161" spans="3:3">
      <c r="C161" t="str">
        <f t="shared" si="2"/>
        <v/>
      </c>
    </row>
    <row r="162" spans="3:3">
      <c r="C162" t="str">
        <f t="shared" si="2"/>
        <v/>
      </c>
    </row>
    <row r="163" spans="3:3">
      <c r="C163" t="str">
        <f t="shared" si="2"/>
        <v/>
      </c>
    </row>
    <row r="164" spans="3:3">
      <c r="C164" t="str">
        <f t="shared" si="2"/>
        <v/>
      </c>
    </row>
    <row r="165" spans="3:3">
      <c r="C165" t="str">
        <f t="shared" si="2"/>
        <v/>
      </c>
    </row>
    <row r="166" spans="3:3">
      <c r="C166" t="str">
        <f t="shared" si="2"/>
        <v/>
      </c>
    </row>
    <row r="167" spans="3:3">
      <c r="C167" t="str">
        <f t="shared" si="2"/>
        <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13DFC5-9F53-4462-B8C3-7C3B56B6694E}">
  <sheetPr codeName="Sheet4"/>
  <dimension ref="A1:P167"/>
  <sheetViews>
    <sheetView zoomScale="85" zoomScaleNormal="85" workbookViewId="0">
      <pane xSplit="1" ySplit="3" topLeftCell="B4" activePane="bottomRight" state="frozen"/>
      <selection pane="topRight" activeCell="B1" sqref="B1"/>
      <selection pane="bottomLeft" activeCell="A4" sqref="A4"/>
      <selection pane="bottomRight" activeCell="A3" activeCellId="2" sqref="A1:C1 A2:C2 A3:C3"/>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6">
      <c r="A1" s="4" t="s">
        <v>0</v>
      </c>
      <c r="B1" s="4"/>
      <c r="C1" s="4"/>
      <c r="D1" s="1" t="s">
        <v>15</v>
      </c>
    </row>
    <row r="2" spans="1:16">
      <c r="A2" s="4" t="s">
        <v>2</v>
      </c>
      <c r="B2" s="4"/>
      <c r="C2" s="4"/>
      <c r="D2" s="3" t="s">
        <v>16</v>
      </c>
      <c r="F2">
        <f>SUM(F4:F1000)</f>
        <v>50</v>
      </c>
      <c r="G2">
        <f>SUM(G4:G1000)</f>
        <v>28</v>
      </c>
    </row>
    <row r="3" spans="1:16">
      <c r="A3" s="4" t="s">
        <v>1</v>
      </c>
      <c r="B3" s="4"/>
      <c r="C3" s="4"/>
      <c r="D3" s="1" t="s">
        <v>3</v>
      </c>
      <c r="E3" t="s">
        <v>6</v>
      </c>
      <c r="F3" t="s">
        <v>4</v>
      </c>
      <c r="G3" t="s">
        <v>5</v>
      </c>
    </row>
    <row r="4" spans="1:16">
      <c r="A4" s="2" t="s">
        <v>16</v>
      </c>
      <c r="B4" s="2" t="s">
        <v>16</v>
      </c>
      <c r="C4" s="2" t="s">
        <v>17</v>
      </c>
      <c r="D4" s="1">
        <v>802.3</v>
      </c>
      <c r="E4">
        <f>IF(D4&lt;&gt;"",LEN(D4),"")</f>
        <v>5</v>
      </c>
      <c r="F4">
        <v>2</v>
      </c>
      <c r="G4">
        <v>0</v>
      </c>
      <c r="J4" t="s">
        <v>26</v>
      </c>
      <c r="M4" t="s">
        <v>30</v>
      </c>
      <c r="P4" t="s">
        <v>36</v>
      </c>
    </row>
    <row r="5" spans="1:16">
      <c r="C5" s="2" t="s">
        <v>18</v>
      </c>
      <c r="D5" s="1" t="s">
        <v>22</v>
      </c>
      <c r="E5">
        <f t="shared" ref="E5:E68" si="0">IF(D5&lt;&gt;"",LEN(D5),"")</f>
        <v>3</v>
      </c>
      <c r="F5">
        <v>2</v>
      </c>
      <c r="G5">
        <v>0</v>
      </c>
      <c r="J5" t="s">
        <v>27</v>
      </c>
      <c r="M5" t="s">
        <v>31</v>
      </c>
      <c r="P5" t="s">
        <v>37</v>
      </c>
    </row>
    <row r="6" spans="1:16">
      <c r="C6" s="2" t="s">
        <v>19</v>
      </c>
      <c r="D6" s="1" t="s">
        <v>23</v>
      </c>
      <c r="E6">
        <f t="shared" si="0"/>
        <v>3</v>
      </c>
      <c r="F6">
        <v>2</v>
      </c>
      <c r="G6">
        <v>0</v>
      </c>
      <c r="J6" t="s">
        <v>28</v>
      </c>
      <c r="M6" t="s">
        <v>32</v>
      </c>
      <c r="P6" t="s">
        <v>38</v>
      </c>
    </row>
    <row r="7" spans="1:16">
      <c r="C7" s="2" t="s">
        <v>20</v>
      </c>
      <c r="D7" s="1" t="s">
        <v>24</v>
      </c>
      <c r="E7">
        <f t="shared" si="0"/>
        <v>4</v>
      </c>
      <c r="F7">
        <v>2</v>
      </c>
      <c r="G7">
        <v>2</v>
      </c>
      <c r="J7" t="s">
        <v>34</v>
      </c>
      <c r="M7" t="s">
        <v>33</v>
      </c>
    </row>
    <row r="8" spans="1:16">
      <c r="C8" s="2" t="s">
        <v>12</v>
      </c>
      <c r="D8" s="1" t="s">
        <v>25</v>
      </c>
      <c r="E8">
        <f t="shared" si="0"/>
        <v>11</v>
      </c>
      <c r="F8">
        <v>2</v>
      </c>
      <c r="G8">
        <v>0</v>
      </c>
    </row>
    <row r="9" spans="1:16">
      <c r="B9" s="2" t="s">
        <v>14</v>
      </c>
      <c r="D9" s="1" t="s">
        <v>29</v>
      </c>
      <c r="E9">
        <f t="shared" si="0"/>
        <v>14</v>
      </c>
      <c r="F9">
        <v>4</v>
      </c>
      <c r="G9">
        <v>4</v>
      </c>
    </row>
    <row r="10" spans="1:16">
      <c r="A10" s="2" t="s">
        <v>14</v>
      </c>
      <c r="B10" s="2" t="s">
        <v>16</v>
      </c>
      <c r="D10" s="1" t="s">
        <v>35</v>
      </c>
      <c r="E10">
        <f t="shared" si="0"/>
        <v>40</v>
      </c>
      <c r="F10">
        <v>4</v>
      </c>
      <c r="G10">
        <v>4</v>
      </c>
    </row>
    <row r="11" spans="1:16">
      <c r="B11" s="2" t="s">
        <v>14</v>
      </c>
      <c r="D11" s="1" t="s">
        <v>39</v>
      </c>
      <c r="E11">
        <f t="shared" si="0"/>
        <v>23</v>
      </c>
      <c r="F11">
        <v>4</v>
      </c>
      <c r="G11">
        <v>2</v>
      </c>
    </row>
    <row r="12" spans="1:16">
      <c r="B12" s="2" t="s">
        <v>21</v>
      </c>
      <c r="C12" s="2" t="s">
        <v>16</v>
      </c>
      <c r="D12" s="1" t="s">
        <v>40</v>
      </c>
      <c r="E12">
        <f t="shared" si="0"/>
        <v>5</v>
      </c>
      <c r="F12">
        <v>4</v>
      </c>
      <c r="G12">
        <v>0</v>
      </c>
    </row>
    <row r="13" spans="1:16">
      <c r="C13" s="2" t="s">
        <v>14</v>
      </c>
      <c r="D13" s="1" t="s">
        <v>41</v>
      </c>
      <c r="E13">
        <f t="shared" si="0"/>
        <v>5</v>
      </c>
      <c r="F13">
        <v>4</v>
      </c>
      <c r="G13">
        <v>0</v>
      </c>
    </row>
    <row r="14" spans="1:16">
      <c r="A14" s="2" t="s">
        <v>21</v>
      </c>
      <c r="B14" s="2" t="s">
        <v>16</v>
      </c>
      <c r="D14" s="1" t="s">
        <v>42</v>
      </c>
      <c r="E14">
        <f t="shared" si="0"/>
        <v>30</v>
      </c>
      <c r="F14">
        <v>4</v>
      </c>
      <c r="G14">
        <v>2</v>
      </c>
    </row>
    <row r="15" spans="1:16">
      <c r="B15" s="2" t="s">
        <v>14</v>
      </c>
      <c r="C15" s="2" t="s">
        <v>16</v>
      </c>
      <c r="D15" s="1" t="s">
        <v>43</v>
      </c>
      <c r="E15">
        <f t="shared" si="0"/>
        <v>8</v>
      </c>
      <c r="F15">
        <v>4</v>
      </c>
      <c r="G15">
        <v>2</v>
      </c>
    </row>
    <row r="16" spans="1:16">
      <c r="C16" s="2" t="s">
        <v>14</v>
      </c>
      <c r="D16" s="1" t="s">
        <v>44</v>
      </c>
      <c r="E16">
        <f t="shared" si="0"/>
        <v>11</v>
      </c>
      <c r="F16">
        <v>4</v>
      </c>
      <c r="G16">
        <v>4</v>
      </c>
    </row>
    <row r="17" spans="2:7">
      <c r="B17" s="2" t="s">
        <v>21</v>
      </c>
      <c r="D17" s="1" t="s">
        <v>45</v>
      </c>
      <c r="E17">
        <f t="shared" si="0"/>
        <v>39</v>
      </c>
      <c r="F17">
        <v>4</v>
      </c>
      <c r="G17">
        <v>4</v>
      </c>
    </row>
    <row r="18" spans="2:7">
      <c r="B18" s="2" t="s">
        <v>13</v>
      </c>
      <c r="D18" s="1" t="s">
        <v>46</v>
      </c>
      <c r="E18">
        <f t="shared" si="0"/>
        <v>21</v>
      </c>
      <c r="F18">
        <v>4</v>
      </c>
      <c r="G18">
        <v>4</v>
      </c>
    </row>
    <row r="19" spans="2:7">
      <c r="E19" t="str">
        <f t="shared" si="0"/>
        <v/>
      </c>
    </row>
    <row r="20" spans="2:7">
      <c r="E20" t="str">
        <f t="shared" si="0"/>
        <v/>
      </c>
    </row>
    <row r="21" spans="2:7">
      <c r="E21" t="str">
        <f t="shared" si="0"/>
        <v/>
      </c>
    </row>
    <row r="22" spans="2:7">
      <c r="E22" t="str">
        <f t="shared" si="0"/>
        <v/>
      </c>
    </row>
    <row r="23" spans="2:7">
      <c r="E23" t="str">
        <f t="shared" si="0"/>
        <v/>
      </c>
    </row>
    <row r="24" spans="2:7">
      <c r="E24" t="str">
        <f t="shared" si="0"/>
        <v/>
      </c>
    </row>
    <row r="25" spans="2:7">
      <c r="E25" t="str">
        <f t="shared" si="0"/>
        <v/>
      </c>
    </row>
    <row r="26" spans="2:7">
      <c r="E26" t="str">
        <f t="shared" si="0"/>
        <v/>
      </c>
    </row>
    <row r="27" spans="2:7">
      <c r="E27" t="str">
        <f t="shared" si="0"/>
        <v/>
      </c>
    </row>
    <row r="28" spans="2:7">
      <c r="E28" t="str">
        <f t="shared" si="0"/>
        <v/>
      </c>
    </row>
    <row r="29" spans="2:7">
      <c r="E29" t="str">
        <f t="shared" si="0"/>
        <v/>
      </c>
    </row>
    <row r="30" spans="2:7">
      <c r="E30" t="str">
        <f t="shared" si="0"/>
        <v/>
      </c>
    </row>
    <row r="31" spans="2:7">
      <c r="E31" t="str">
        <f t="shared" si="0"/>
        <v/>
      </c>
    </row>
    <row r="32" spans="2:7">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3:C3"/>
    <mergeCell ref="A2:C2"/>
    <mergeCell ref="A1:C1"/>
  </mergeCells>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972F2-C33F-42B2-81D3-9044BD3100BB}">
  <sheetPr codeName="Sheet5"/>
  <dimension ref="A1:K167"/>
  <sheetViews>
    <sheetView zoomScale="85" zoomScaleNormal="85" workbookViewId="0">
      <pane xSplit="1" ySplit="3" topLeftCell="B4" activePane="bottomRight" state="frozen"/>
      <selection pane="topRight" activeCell="B1" sqref="B1"/>
      <selection pane="bottomLeft" activeCell="A4" sqref="A4"/>
      <selection pane="bottomRight" activeCell="J11" sqref="J11"/>
    </sheetView>
  </sheetViews>
  <sheetFormatPr defaultRowHeight="18.75"/>
  <cols>
    <col min="1" max="1" width="7.375" style="2" customWidth="1"/>
    <col min="2" max="2" width="8.5" style="2" customWidth="1"/>
    <col min="3" max="3" width="9" style="2"/>
    <col min="4" max="4" width="96.875" style="1" customWidth="1"/>
    <col min="5" max="5" width="9.75" customWidth="1"/>
  </cols>
  <sheetData>
    <row r="1" spans="1:11">
      <c r="A1" s="4" t="s">
        <v>0</v>
      </c>
      <c r="B1" s="4"/>
      <c r="C1" s="4"/>
      <c r="D1" s="1" t="s">
        <v>15</v>
      </c>
    </row>
    <row r="2" spans="1:11">
      <c r="A2" s="4" t="s">
        <v>2</v>
      </c>
      <c r="B2" s="4"/>
      <c r="C2" s="4"/>
      <c r="D2" s="3" t="s">
        <v>14</v>
      </c>
      <c r="F2">
        <f>SUM(F4:F1000)</f>
        <v>50</v>
      </c>
      <c r="G2">
        <f>SUM(G4:G1000)</f>
        <v>30</v>
      </c>
    </row>
    <row r="3" spans="1:11">
      <c r="A3" s="4" t="s">
        <v>1</v>
      </c>
      <c r="B3" s="4"/>
      <c r="C3" s="4"/>
      <c r="D3" s="1" t="s">
        <v>3</v>
      </c>
      <c r="E3" t="s">
        <v>6</v>
      </c>
      <c r="F3" t="s">
        <v>4</v>
      </c>
      <c r="G3" t="s">
        <v>5</v>
      </c>
    </row>
    <row r="4" spans="1:11">
      <c r="A4" s="2" t="s">
        <v>16</v>
      </c>
      <c r="C4" s="2" t="s">
        <v>17</v>
      </c>
      <c r="D4" s="1" t="s">
        <v>58</v>
      </c>
      <c r="E4">
        <f>IF(D4&lt;&gt;"",LEN(D4),"")</f>
        <v>3</v>
      </c>
      <c r="F4">
        <v>2</v>
      </c>
      <c r="G4">
        <v>2</v>
      </c>
      <c r="J4" t="s">
        <v>64</v>
      </c>
      <c r="K4" t="s">
        <v>64</v>
      </c>
    </row>
    <row r="5" spans="1:11">
      <c r="C5" s="2" t="s">
        <v>18</v>
      </c>
      <c r="D5" s="1" t="s">
        <v>59</v>
      </c>
      <c r="E5">
        <f t="shared" ref="E5:E68" si="0">IF(D5&lt;&gt;"",LEN(D5),"")</f>
        <v>10</v>
      </c>
      <c r="F5">
        <v>2</v>
      </c>
      <c r="G5">
        <v>0</v>
      </c>
      <c r="J5" t="s">
        <v>63</v>
      </c>
      <c r="K5" t="s">
        <v>47</v>
      </c>
    </row>
    <row r="6" spans="1:11">
      <c r="C6" s="2" t="s">
        <v>19</v>
      </c>
      <c r="D6" s="1" t="s">
        <v>60</v>
      </c>
      <c r="E6">
        <f t="shared" si="0"/>
        <v>6</v>
      </c>
      <c r="F6">
        <v>2</v>
      </c>
      <c r="G6">
        <v>2</v>
      </c>
      <c r="J6" t="s">
        <v>63</v>
      </c>
      <c r="K6" t="s">
        <v>48</v>
      </c>
    </row>
    <row r="7" spans="1:11">
      <c r="C7" s="2" t="s">
        <v>20</v>
      </c>
      <c r="D7" s="1" t="s">
        <v>61</v>
      </c>
      <c r="E7">
        <f t="shared" si="0"/>
        <v>11</v>
      </c>
      <c r="F7">
        <v>2</v>
      </c>
      <c r="G7">
        <v>0</v>
      </c>
      <c r="J7" t="s">
        <v>63</v>
      </c>
      <c r="K7" t="s">
        <v>49</v>
      </c>
    </row>
    <row r="8" spans="1:11">
      <c r="C8" s="2" t="s">
        <v>12</v>
      </c>
      <c r="D8" s="1" t="s">
        <v>62</v>
      </c>
      <c r="E8">
        <f t="shared" si="0"/>
        <v>4</v>
      </c>
      <c r="F8">
        <v>2</v>
      </c>
      <c r="G8">
        <v>2</v>
      </c>
      <c r="K8" t="s">
        <v>50</v>
      </c>
    </row>
    <row r="9" spans="1:11">
      <c r="A9" s="2" t="s">
        <v>14</v>
      </c>
      <c r="B9" s="2" t="s">
        <v>16</v>
      </c>
      <c r="D9" s="1" t="s">
        <v>54</v>
      </c>
      <c r="E9">
        <f t="shared" si="0"/>
        <v>19</v>
      </c>
      <c r="F9">
        <v>8</v>
      </c>
      <c r="G9">
        <v>8</v>
      </c>
      <c r="K9" t="s">
        <v>51</v>
      </c>
    </row>
    <row r="10" spans="1:11">
      <c r="B10" s="2" t="s">
        <v>14</v>
      </c>
      <c r="D10" s="1" t="s">
        <v>55</v>
      </c>
      <c r="E10">
        <f t="shared" si="0"/>
        <v>28</v>
      </c>
      <c r="F10">
        <v>8</v>
      </c>
      <c r="G10">
        <v>8</v>
      </c>
      <c r="K10" t="s">
        <v>52</v>
      </c>
    </row>
    <row r="11" spans="1:11">
      <c r="B11" s="2" t="s">
        <v>21</v>
      </c>
      <c r="D11" s="1" t="s">
        <v>56</v>
      </c>
      <c r="E11">
        <f t="shared" si="0"/>
        <v>1</v>
      </c>
      <c r="F11">
        <v>8</v>
      </c>
      <c r="G11">
        <v>0</v>
      </c>
      <c r="K11" t="s">
        <v>53</v>
      </c>
    </row>
    <row r="12" spans="1:11">
      <c r="A12" s="2" t="s">
        <v>21</v>
      </c>
      <c r="B12" s="2" t="s">
        <v>16</v>
      </c>
      <c r="D12" s="1" t="s">
        <v>65</v>
      </c>
      <c r="E12">
        <f t="shared" si="0"/>
        <v>16</v>
      </c>
      <c r="F12">
        <v>8</v>
      </c>
      <c r="G12">
        <v>8</v>
      </c>
      <c r="K12" t="s">
        <v>57</v>
      </c>
    </row>
    <row r="13" spans="1:11">
      <c r="B13" s="2" t="s">
        <v>14</v>
      </c>
      <c r="D13" s="1" t="s">
        <v>66</v>
      </c>
      <c r="E13">
        <f t="shared" si="0"/>
        <v>20</v>
      </c>
      <c r="F13">
        <v>8</v>
      </c>
      <c r="G13">
        <v>0</v>
      </c>
    </row>
    <row r="14" spans="1:11">
      <c r="E14" t="str">
        <f t="shared" si="0"/>
        <v/>
      </c>
    </row>
    <row r="15" spans="1:11">
      <c r="E15" t="str">
        <f t="shared" si="0"/>
        <v/>
      </c>
    </row>
    <row r="16" spans="1:11">
      <c r="E16" t="str">
        <f t="shared" si="0"/>
        <v/>
      </c>
    </row>
    <row r="17" spans="5:5">
      <c r="E17" t="str">
        <f t="shared" si="0"/>
        <v/>
      </c>
    </row>
    <row r="18" spans="5:5">
      <c r="E18" t="str">
        <f t="shared" si="0"/>
        <v/>
      </c>
    </row>
    <row r="19" spans="5:5">
      <c r="E19" t="str">
        <f t="shared" si="0"/>
        <v/>
      </c>
    </row>
    <row r="20" spans="5:5">
      <c r="E20" t="str">
        <f t="shared" si="0"/>
        <v/>
      </c>
    </row>
    <row r="21" spans="5:5">
      <c r="E21" t="str">
        <f t="shared" si="0"/>
        <v/>
      </c>
    </row>
    <row r="22" spans="5:5">
      <c r="E22" t="str">
        <f t="shared" si="0"/>
        <v/>
      </c>
    </row>
    <row r="23" spans="5:5">
      <c r="E23" t="str">
        <f t="shared" si="0"/>
        <v/>
      </c>
    </row>
    <row r="24" spans="5:5">
      <c r="E24" t="str">
        <f t="shared" si="0"/>
        <v/>
      </c>
    </row>
    <row r="25" spans="5:5">
      <c r="E25" t="str">
        <f t="shared" si="0"/>
        <v/>
      </c>
    </row>
    <row r="26" spans="5:5">
      <c r="E26" t="str">
        <f t="shared" si="0"/>
        <v/>
      </c>
    </row>
    <row r="27" spans="5:5">
      <c r="E27" t="str">
        <f t="shared" si="0"/>
        <v/>
      </c>
    </row>
    <row r="28" spans="5:5">
      <c r="E28" t="str">
        <f t="shared" si="0"/>
        <v/>
      </c>
    </row>
    <row r="29" spans="5:5">
      <c r="E29" t="str">
        <f t="shared" si="0"/>
        <v/>
      </c>
    </row>
    <row r="30" spans="5:5">
      <c r="E30" t="str">
        <f t="shared" si="0"/>
        <v/>
      </c>
    </row>
    <row r="31" spans="5:5">
      <c r="E31" t="str">
        <f t="shared" si="0"/>
        <v/>
      </c>
    </row>
    <row r="32" spans="5:5">
      <c r="E32" t="str">
        <f t="shared" si="0"/>
        <v/>
      </c>
    </row>
    <row r="33" spans="5:5">
      <c r="E33" t="str">
        <f t="shared" si="0"/>
        <v/>
      </c>
    </row>
    <row r="34" spans="5:5">
      <c r="E34" t="str">
        <f t="shared" si="0"/>
        <v/>
      </c>
    </row>
    <row r="35" spans="5:5">
      <c r="E35" t="str">
        <f t="shared" si="0"/>
        <v/>
      </c>
    </row>
    <row r="36" spans="5:5">
      <c r="E36" t="str">
        <f t="shared" si="0"/>
        <v/>
      </c>
    </row>
    <row r="37" spans="5:5">
      <c r="E37" t="str">
        <f t="shared" si="0"/>
        <v/>
      </c>
    </row>
    <row r="38" spans="5:5">
      <c r="E38" t="str">
        <f t="shared" si="0"/>
        <v/>
      </c>
    </row>
    <row r="39" spans="5:5">
      <c r="E39" t="str">
        <f t="shared" si="0"/>
        <v/>
      </c>
    </row>
    <row r="40" spans="5:5">
      <c r="E40" t="str">
        <f t="shared" si="0"/>
        <v/>
      </c>
    </row>
    <row r="41" spans="5:5">
      <c r="E41" t="str">
        <f t="shared" si="0"/>
        <v/>
      </c>
    </row>
    <row r="42" spans="5:5">
      <c r="E42" t="str">
        <f t="shared" si="0"/>
        <v/>
      </c>
    </row>
    <row r="43" spans="5:5">
      <c r="E43" t="str">
        <f t="shared" si="0"/>
        <v/>
      </c>
    </row>
    <row r="44" spans="5:5">
      <c r="E44" t="str">
        <f t="shared" si="0"/>
        <v/>
      </c>
    </row>
    <row r="45" spans="5:5">
      <c r="E45" t="str">
        <f t="shared" si="0"/>
        <v/>
      </c>
    </row>
    <row r="46" spans="5:5">
      <c r="E46" t="str">
        <f t="shared" si="0"/>
        <v/>
      </c>
    </row>
    <row r="47" spans="5:5">
      <c r="E47" t="str">
        <f t="shared" si="0"/>
        <v/>
      </c>
    </row>
    <row r="48" spans="5:5">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8A806A-EDB2-4CCE-9AC2-E8E46641D885}">
  <sheetPr codeName="Sheet7"/>
  <dimension ref="A1:O167"/>
  <sheetViews>
    <sheetView zoomScale="85" zoomScaleNormal="85" workbookViewId="0">
      <pane xSplit="1" ySplit="3" topLeftCell="B13" activePane="bottomRight" state="frozen"/>
      <selection pane="topRight" activeCell="B1" sqref="B1"/>
      <selection pane="bottomLeft" activeCell="A4" sqref="A4"/>
      <selection pane="bottomRight" activeCell="G29" sqref="G29"/>
    </sheetView>
  </sheetViews>
  <sheetFormatPr defaultRowHeight="18.75"/>
  <cols>
    <col min="1" max="3" width="5.625" style="2" customWidth="1"/>
    <col min="4" max="4" width="63.75" style="1" customWidth="1"/>
    <col min="5" max="5" width="9.75" customWidth="1"/>
  </cols>
  <sheetData>
    <row r="1" spans="1:15">
      <c r="A1" s="4" t="s">
        <v>0</v>
      </c>
      <c r="B1" s="4"/>
      <c r="C1" s="4"/>
      <c r="D1" s="1" t="s">
        <v>15</v>
      </c>
    </row>
    <row r="2" spans="1:15">
      <c r="A2" s="4" t="s">
        <v>2</v>
      </c>
      <c r="B2" s="4"/>
      <c r="C2" s="4"/>
      <c r="D2" s="3" t="s">
        <v>21</v>
      </c>
      <c r="F2">
        <f>SUM(F4:F1000)</f>
        <v>100</v>
      </c>
      <c r="G2">
        <f>SUM(G4:G1000)</f>
        <v>66</v>
      </c>
    </row>
    <row r="3" spans="1:15">
      <c r="A3" s="4" t="s">
        <v>1</v>
      </c>
      <c r="B3" s="4"/>
      <c r="C3" s="4"/>
      <c r="D3" s="1" t="s">
        <v>3</v>
      </c>
      <c r="E3" t="s">
        <v>6</v>
      </c>
      <c r="F3" t="s">
        <v>4</v>
      </c>
      <c r="G3" t="s">
        <v>5</v>
      </c>
    </row>
    <row r="4" spans="1:15">
      <c r="A4" s="2" t="s">
        <v>16</v>
      </c>
      <c r="C4" s="2" t="s">
        <v>67</v>
      </c>
      <c r="D4" s="1">
        <v>2.4</v>
      </c>
      <c r="E4">
        <f>IF(D4&lt;&gt;"",LEN(D4),"")</f>
        <v>3</v>
      </c>
      <c r="F4">
        <v>2</v>
      </c>
      <c r="G4">
        <v>2</v>
      </c>
      <c r="I4" t="s">
        <v>79</v>
      </c>
      <c r="K4" t="s">
        <v>84</v>
      </c>
      <c r="M4" t="s">
        <v>89</v>
      </c>
      <c r="O4" t="s">
        <v>124</v>
      </c>
    </row>
    <row r="5" spans="1:15">
      <c r="C5" s="2" t="s">
        <v>68</v>
      </c>
      <c r="D5" s="1">
        <v>5</v>
      </c>
      <c r="E5">
        <f t="shared" ref="E5:E68" si="0">IF(D5&lt;&gt;"",LEN(D5),"")</f>
        <v>1</v>
      </c>
      <c r="F5">
        <v>2</v>
      </c>
      <c r="G5">
        <v>2</v>
      </c>
      <c r="I5" t="s">
        <v>80</v>
      </c>
      <c r="K5" t="s">
        <v>85</v>
      </c>
      <c r="M5" t="s">
        <v>90</v>
      </c>
      <c r="O5" t="s">
        <v>125</v>
      </c>
    </row>
    <row r="6" spans="1:15">
      <c r="C6" s="2" t="s">
        <v>69</v>
      </c>
      <c r="D6" s="1" t="s">
        <v>93</v>
      </c>
      <c r="E6">
        <f t="shared" si="0"/>
        <v>3</v>
      </c>
      <c r="F6">
        <v>2</v>
      </c>
      <c r="G6">
        <v>0</v>
      </c>
      <c r="I6" t="s">
        <v>81</v>
      </c>
      <c r="K6" t="s">
        <v>86</v>
      </c>
      <c r="M6" t="s">
        <v>91</v>
      </c>
      <c r="O6" t="s">
        <v>126</v>
      </c>
    </row>
    <row r="7" spans="1:15">
      <c r="C7" s="2" t="s">
        <v>70</v>
      </c>
      <c r="D7" s="1" t="s">
        <v>94</v>
      </c>
      <c r="E7">
        <f t="shared" si="0"/>
        <v>2</v>
      </c>
      <c r="F7">
        <v>2</v>
      </c>
      <c r="G7">
        <v>2</v>
      </c>
      <c r="I7" t="s">
        <v>82</v>
      </c>
      <c r="K7" t="s">
        <v>87</v>
      </c>
      <c r="M7" t="s">
        <v>92</v>
      </c>
      <c r="O7" t="s">
        <v>127</v>
      </c>
    </row>
    <row r="8" spans="1:15">
      <c r="C8" s="2" t="s">
        <v>71</v>
      </c>
      <c r="D8" s="1" t="s">
        <v>133</v>
      </c>
      <c r="E8">
        <f t="shared" si="0"/>
        <v>6</v>
      </c>
      <c r="F8">
        <v>2</v>
      </c>
      <c r="G8">
        <v>0</v>
      </c>
      <c r="H8" t="s">
        <v>95</v>
      </c>
      <c r="I8" t="s">
        <v>83</v>
      </c>
      <c r="K8" t="s">
        <v>88</v>
      </c>
      <c r="M8" t="s">
        <v>98</v>
      </c>
      <c r="O8" t="s">
        <v>128</v>
      </c>
    </row>
    <row r="9" spans="1:15">
      <c r="A9" s="2" t="s">
        <v>14</v>
      </c>
      <c r="B9" s="2" t="s">
        <v>16</v>
      </c>
      <c r="C9" s="2" t="s">
        <v>72</v>
      </c>
      <c r="D9" s="1" t="s">
        <v>96</v>
      </c>
      <c r="E9">
        <f t="shared" si="0"/>
        <v>5</v>
      </c>
      <c r="F9">
        <v>2</v>
      </c>
      <c r="G9">
        <v>2</v>
      </c>
      <c r="I9" t="s">
        <v>100</v>
      </c>
      <c r="K9" t="s">
        <v>104</v>
      </c>
      <c r="M9" t="s">
        <v>99</v>
      </c>
      <c r="O9" t="s">
        <v>129</v>
      </c>
    </row>
    <row r="10" spans="1:15">
      <c r="C10" s="2" t="s">
        <v>73</v>
      </c>
      <c r="D10" s="1" t="s">
        <v>97</v>
      </c>
      <c r="E10">
        <f t="shared" si="0"/>
        <v>2</v>
      </c>
      <c r="F10">
        <v>2</v>
      </c>
      <c r="G10">
        <v>2</v>
      </c>
      <c r="I10" t="s">
        <v>101</v>
      </c>
      <c r="K10" t="s">
        <v>105</v>
      </c>
      <c r="M10" t="s">
        <v>108</v>
      </c>
    </row>
    <row r="11" spans="1:15">
      <c r="C11" s="2" t="s">
        <v>74</v>
      </c>
      <c r="D11" s="1" t="s">
        <v>134</v>
      </c>
      <c r="E11">
        <f t="shared" si="0"/>
        <v>3</v>
      </c>
      <c r="F11">
        <v>2</v>
      </c>
      <c r="G11">
        <v>0</v>
      </c>
      <c r="I11" t="s">
        <v>102</v>
      </c>
      <c r="K11" t="s">
        <v>106</v>
      </c>
      <c r="M11" t="s">
        <v>109</v>
      </c>
      <c r="O11" t="s">
        <v>130</v>
      </c>
    </row>
    <row r="12" spans="1:15">
      <c r="C12" s="2" t="s">
        <v>75</v>
      </c>
      <c r="D12" s="1" t="s">
        <v>135</v>
      </c>
      <c r="E12">
        <f t="shared" si="0"/>
        <v>3</v>
      </c>
      <c r="F12">
        <v>2</v>
      </c>
      <c r="G12">
        <v>0</v>
      </c>
      <c r="I12" t="s">
        <v>103</v>
      </c>
      <c r="K12" t="s">
        <v>107</v>
      </c>
      <c r="M12" t="s">
        <v>110</v>
      </c>
      <c r="O12" t="s">
        <v>131</v>
      </c>
    </row>
    <row r="13" spans="1:15">
      <c r="C13" s="2" t="s">
        <v>76</v>
      </c>
      <c r="D13" s="1" t="s">
        <v>136</v>
      </c>
      <c r="E13">
        <f t="shared" si="0"/>
        <v>3</v>
      </c>
      <c r="F13">
        <v>2</v>
      </c>
      <c r="G13">
        <v>0</v>
      </c>
      <c r="I13" t="s">
        <v>112</v>
      </c>
      <c r="K13" t="s">
        <v>117</v>
      </c>
      <c r="M13" t="s">
        <v>111</v>
      </c>
      <c r="O13" t="s">
        <v>132</v>
      </c>
    </row>
    <row r="14" spans="1:15">
      <c r="B14" s="2" t="s">
        <v>14</v>
      </c>
      <c r="D14" s="1" t="s">
        <v>146</v>
      </c>
      <c r="E14">
        <f t="shared" si="0"/>
        <v>33</v>
      </c>
      <c r="F14">
        <v>4</v>
      </c>
      <c r="G14">
        <v>4</v>
      </c>
      <c r="I14" t="s">
        <v>114</v>
      </c>
      <c r="K14" t="s">
        <v>119</v>
      </c>
      <c r="M14" t="s">
        <v>147</v>
      </c>
    </row>
    <row r="15" spans="1:15">
      <c r="A15" s="2" t="s">
        <v>21</v>
      </c>
      <c r="B15" s="2" t="s">
        <v>16</v>
      </c>
      <c r="D15" s="1" t="s">
        <v>148</v>
      </c>
      <c r="E15">
        <f t="shared" si="0"/>
        <v>9</v>
      </c>
      <c r="F15">
        <v>4</v>
      </c>
      <c r="G15">
        <v>4</v>
      </c>
      <c r="I15" t="s">
        <v>115</v>
      </c>
      <c r="K15" t="s">
        <v>120</v>
      </c>
      <c r="M15">
        <f>867/160</f>
        <v>5.4187500000000002</v>
      </c>
    </row>
    <row r="16" spans="1:15">
      <c r="B16" s="2" t="s">
        <v>14</v>
      </c>
      <c r="C16" s="2" t="s">
        <v>16</v>
      </c>
      <c r="D16" s="1" t="s">
        <v>149</v>
      </c>
      <c r="E16">
        <f t="shared" si="0"/>
        <v>24</v>
      </c>
      <c r="F16">
        <v>3</v>
      </c>
      <c r="G16">
        <v>3</v>
      </c>
      <c r="I16" t="s">
        <v>116</v>
      </c>
      <c r="K16" t="s">
        <v>121</v>
      </c>
    </row>
    <row r="17" spans="1:9">
      <c r="C17" s="2" t="s">
        <v>14</v>
      </c>
      <c r="D17" s="1" t="s">
        <v>150</v>
      </c>
      <c r="E17">
        <f t="shared" si="0"/>
        <v>24</v>
      </c>
      <c r="F17">
        <v>3</v>
      </c>
      <c r="G17">
        <v>3</v>
      </c>
      <c r="I17" t="s">
        <v>155</v>
      </c>
    </row>
    <row r="18" spans="1:9">
      <c r="B18" s="2" t="s">
        <v>21</v>
      </c>
      <c r="D18" s="1" t="s">
        <v>151</v>
      </c>
      <c r="E18">
        <f t="shared" si="0"/>
        <v>16</v>
      </c>
      <c r="F18">
        <v>4</v>
      </c>
      <c r="G18">
        <v>4</v>
      </c>
    </row>
    <row r="19" spans="1:9">
      <c r="B19" s="2" t="s">
        <v>13</v>
      </c>
      <c r="C19" s="2" t="s">
        <v>16</v>
      </c>
      <c r="D19" s="1">
        <v>4</v>
      </c>
      <c r="E19">
        <f t="shared" si="0"/>
        <v>1</v>
      </c>
      <c r="F19">
        <v>3</v>
      </c>
      <c r="G19">
        <v>3</v>
      </c>
    </row>
    <row r="20" spans="1:9">
      <c r="C20" s="2" t="s">
        <v>14</v>
      </c>
      <c r="D20" s="1" t="s">
        <v>152</v>
      </c>
      <c r="E20">
        <f t="shared" si="0"/>
        <v>12</v>
      </c>
      <c r="F20">
        <v>3</v>
      </c>
      <c r="G20">
        <v>3</v>
      </c>
    </row>
    <row r="21" spans="1:9">
      <c r="B21" s="2" t="s">
        <v>77</v>
      </c>
      <c r="C21" s="2" t="s">
        <v>16</v>
      </c>
      <c r="D21" s="1" t="s">
        <v>113</v>
      </c>
      <c r="E21">
        <f t="shared" si="0"/>
        <v>4</v>
      </c>
      <c r="F21">
        <v>3</v>
      </c>
      <c r="G21">
        <v>3</v>
      </c>
    </row>
    <row r="22" spans="1:9">
      <c r="C22" s="2" t="s">
        <v>14</v>
      </c>
      <c r="D22" s="1">
        <f>12*18</f>
        <v>216</v>
      </c>
      <c r="E22">
        <f t="shared" si="0"/>
        <v>3</v>
      </c>
      <c r="F22">
        <v>3</v>
      </c>
      <c r="G22">
        <v>3</v>
      </c>
    </row>
    <row r="23" spans="1:9">
      <c r="A23" s="2" t="s">
        <v>13</v>
      </c>
      <c r="B23" s="2" t="s">
        <v>16</v>
      </c>
      <c r="C23" s="2" t="s">
        <v>16</v>
      </c>
      <c r="D23" s="1" t="s">
        <v>153</v>
      </c>
      <c r="E23">
        <f t="shared" si="0"/>
        <v>8</v>
      </c>
      <c r="F23">
        <v>3</v>
      </c>
      <c r="G23">
        <v>3</v>
      </c>
      <c r="I23" t="s">
        <v>118</v>
      </c>
    </row>
    <row r="24" spans="1:9">
      <c r="C24" s="2" t="s">
        <v>14</v>
      </c>
      <c r="D24" s="1" t="s">
        <v>154</v>
      </c>
      <c r="E24">
        <f t="shared" si="0"/>
        <v>10</v>
      </c>
      <c r="F24">
        <v>3</v>
      </c>
      <c r="G24">
        <v>3</v>
      </c>
    </row>
    <row r="25" spans="1:9">
      <c r="B25" s="2" t="s">
        <v>14</v>
      </c>
      <c r="D25" s="1" t="s">
        <v>156</v>
      </c>
      <c r="E25">
        <f t="shared" si="0"/>
        <v>33</v>
      </c>
      <c r="F25">
        <v>4</v>
      </c>
      <c r="G25">
        <v>4</v>
      </c>
    </row>
    <row r="26" spans="1:9">
      <c r="B26" s="2" t="s">
        <v>21</v>
      </c>
      <c r="D26" s="1" t="s">
        <v>157</v>
      </c>
      <c r="E26">
        <f t="shared" si="0"/>
        <v>21</v>
      </c>
      <c r="F26">
        <v>4</v>
      </c>
      <c r="G26">
        <v>0</v>
      </c>
    </row>
    <row r="27" spans="1:9">
      <c r="A27" s="2" t="s">
        <v>77</v>
      </c>
      <c r="B27" s="2" t="s">
        <v>16</v>
      </c>
      <c r="C27" s="2" t="s">
        <v>16</v>
      </c>
      <c r="D27" s="1" t="s">
        <v>122</v>
      </c>
      <c r="E27">
        <f t="shared" si="0"/>
        <v>3</v>
      </c>
      <c r="F27">
        <v>4</v>
      </c>
      <c r="G27">
        <v>2</v>
      </c>
    </row>
    <row r="28" spans="1:9">
      <c r="C28" s="2" t="s">
        <v>14</v>
      </c>
      <c r="D28" s="1" t="s">
        <v>158</v>
      </c>
      <c r="E28">
        <f t="shared" si="0"/>
        <v>3</v>
      </c>
      <c r="F28">
        <v>4</v>
      </c>
      <c r="G28">
        <v>2</v>
      </c>
    </row>
    <row r="29" spans="1:9">
      <c r="B29" s="2" t="s">
        <v>14</v>
      </c>
      <c r="C29" s="2" t="s">
        <v>16</v>
      </c>
      <c r="D29" s="1" t="s">
        <v>123</v>
      </c>
      <c r="E29">
        <f t="shared" si="0"/>
        <v>5</v>
      </c>
      <c r="F29">
        <v>4</v>
      </c>
      <c r="G29">
        <v>2</v>
      </c>
    </row>
    <row r="30" spans="1:9">
      <c r="C30" s="2" t="s">
        <v>14</v>
      </c>
      <c r="D30" s="1" t="s">
        <v>64</v>
      </c>
      <c r="E30">
        <f t="shared" si="0"/>
        <v>3</v>
      </c>
      <c r="F30">
        <v>4</v>
      </c>
      <c r="G30">
        <v>2</v>
      </c>
    </row>
    <row r="31" spans="1:9">
      <c r="B31" s="2" t="s">
        <v>21</v>
      </c>
      <c r="D31" s="1" t="s">
        <v>18</v>
      </c>
      <c r="E31">
        <f t="shared" si="0"/>
        <v>1</v>
      </c>
      <c r="F31">
        <v>4</v>
      </c>
      <c r="G31">
        <v>2</v>
      </c>
    </row>
    <row r="32" spans="1:9">
      <c r="B32" s="2" t="s">
        <v>13</v>
      </c>
      <c r="D32" s="1" t="s">
        <v>159</v>
      </c>
      <c r="E32">
        <f t="shared" si="0"/>
        <v>23</v>
      </c>
      <c r="F32">
        <v>4</v>
      </c>
      <c r="G32">
        <v>2</v>
      </c>
    </row>
    <row r="33" spans="2:7">
      <c r="B33" s="2" t="s">
        <v>77</v>
      </c>
      <c r="C33" s="2" t="s">
        <v>16</v>
      </c>
      <c r="D33" s="1" t="s">
        <v>160</v>
      </c>
      <c r="E33">
        <f t="shared" si="0"/>
        <v>13</v>
      </c>
      <c r="F33">
        <v>4</v>
      </c>
      <c r="G33">
        <v>2</v>
      </c>
    </row>
    <row r="34" spans="2:7">
      <c r="C34" s="2" t="s">
        <v>14</v>
      </c>
      <c r="D34" s="1" t="s">
        <v>161</v>
      </c>
      <c r="E34">
        <f t="shared" si="0"/>
        <v>32</v>
      </c>
      <c r="F34">
        <v>4</v>
      </c>
      <c r="G34">
        <v>2</v>
      </c>
    </row>
    <row r="35" spans="2:7">
      <c r="B35" s="2" t="s">
        <v>78</v>
      </c>
      <c r="E35" t="str">
        <f t="shared" si="0"/>
        <v/>
      </c>
      <c r="F35">
        <v>4</v>
      </c>
      <c r="G35">
        <v>0</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7D29D8-DA07-41F1-A9EF-CB051BB2FDA2}">
  <sheetPr codeName="Sheet6"/>
  <dimension ref="A1:U167"/>
  <sheetViews>
    <sheetView tabSelected="1" zoomScale="85" zoomScaleNormal="85" workbookViewId="0">
      <pane xSplit="1" ySplit="3" topLeftCell="B4" activePane="bottomRight" state="frozen"/>
      <selection pane="topRight" activeCell="B1" sqref="B1"/>
      <selection pane="bottomLeft" activeCell="A4" sqref="A4"/>
      <selection pane="bottomRight" activeCell="M19" sqref="M19"/>
    </sheetView>
  </sheetViews>
  <sheetFormatPr defaultRowHeight="18.75"/>
  <cols>
    <col min="1" max="1" width="7.375" style="2" customWidth="1"/>
    <col min="2" max="2" width="8.5" style="2" customWidth="1"/>
    <col min="3" max="3" width="9" style="2"/>
    <col min="4" max="4" width="73.75" style="5" customWidth="1"/>
    <col min="5" max="5" width="9.75" customWidth="1"/>
  </cols>
  <sheetData>
    <row r="1" spans="1:21">
      <c r="A1" s="4" t="s">
        <v>0</v>
      </c>
      <c r="B1" s="4"/>
      <c r="C1" s="4"/>
      <c r="D1" s="5" t="s">
        <v>15</v>
      </c>
    </row>
    <row r="2" spans="1:21">
      <c r="A2" s="4" t="s">
        <v>2</v>
      </c>
      <c r="B2" s="4"/>
      <c r="C2" s="4"/>
      <c r="D2" s="6" t="s">
        <v>21</v>
      </c>
      <c r="F2">
        <f>SUM(F4:F1000)</f>
        <v>12</v>
      </c>
      <c r="G2">
        <f>SUM(G4:G1000)</f>
        <v>100</v>
      </c>
    </row>
    <row r="3" spans="1:21">
      <c r="A3" s="4" t="s">
        <v>1</v>
      </c>
      <c r="B3" s="4"/>
      <c r="C3" s="4"/>
      <c r="D3" s="5" t="s">
        <v>3</v>
      </c>
      <c r="E3" t="s">
        <v>6</v>
      </c>
      <c r="F3" t="s">
        <v>4</v>
      </c>
      <c r="G3" t="s">
        <v>5</v>
      </c>
    </row>
    <row r="4" spans="1:21">
      <c r="A4" s="2" t="s">
        <v>16</v>
      </c>
      <c r="C4" s="2" t="s">
        <v>67</v>
      </c>
      <c r="D4" s="5">
        <v>2.4</v>
      </c>
      <c r="E4">
        <f>IF(D4&lt;&gt;"",LEN(D4),"")</f>
        <v>3</v>
      </c>
      <c r="F4">
        <v>2</v>
      </c>
      <c r="G4">
        <v>2</v>
      </c>
      <c r="I4" t="s">
        <v>79</v>
      </c>
      <c r="K4" t="s">
        <v>84</v>
      </c>
      <c r="M4" t="s">
        <v>89</v>
      </c>
      <c r="O4" t="s">
        <v>162</v>
      </c>
      <c r="Q4" t="s">
        <v>175</v>
      </c>
    </row>
    <row r="5" spans="1:21">
      <c r="C5" s="2" t="s">
        <v>68</v>
      </c>
      <c r="D5" s="5">
        <v>5</v>
      </c>
      <c r="E5">
        <f t="shared" ref="E5:E68" si="0">IF(D5&lt;&gt;"",LEN(D5),"")</f>
        <v>1</v>
      </c>
      <c r="F5">
        <v>2</v>
      </c>
      <c r="G5">
        <v>2</v>
      </c>
      <c r="I5" t="s">
        <v>80</v>
      </c>
      <c r="K5" t="s">
        <v>85</v>
      </c>
      <c r="M5" t="s">
        <v>90</v>
      </c>
      <c r="O5" t="s">
        <v>163</v>
      </c>
      <c r="Q5" t="s">
        <v>176</v>
      </c>
    </row>
    <row r="6" spans="1:21">
      <c r="C6" s="2" t="s">
        <v>69</v>
      </c>
      <c r="D6" s="5" t="s">
        <v>174</v>
      </c>
      <c r="E6">
        <f t="shared" si="0"/>
        <v>3</v>
      </c>
      <c r="F6">
        <v>2</v>
      </c>
      <c r="G6">
        <v>2</v>
      </c>
      <c r="I6" t="s">
        <v>81</v>
      </c>
      <c r="K6" t="s">
        <v>86</v>
      </c>
      <c r="M6" t="s">
        <v>91</v>
      </c>
      <c r="O6" t="s">
        <v>164</v>
      </c>
      <c r="Q6" t="s">
        <v>177</v>
      </c>
    </row>
    <row r="7" spans="1:21">
      <c r="C7" s="2" t="s">
        <v>70</v>
      </c>
      <c r="D7" s="5" t="s">
        <v>178</v>
      </c>
      <c r="E7">
        <f t="shared" si="0"/>
        <v>2</v>
      </c>
      <c r="F7">
        <v>0</v>
      </c>
      <c r="G7">
        <v>2</v>
      </c>
      <c r="I7" t="s">
        <v>82</v>
      </c>
      <c r="K7" t="s">
        <v>87</v>
      </c>
      <c r="M7" t="s">
        <v>92</v>
      </c>
      <c r="O7" t="s">
        <v>165</v>
      </c>
    </row>
    <row r="8" spans="1:21">
      <c r="C8" s="2" t="s">
        <v>71</v>
      </c>
      <c r="D8" s="5">
        <v>802.3</v>
      </c>
      <c r="E8">
        <f t="shared" si="0"/>
        <v>5</v>
      </c>
      <c r="F8">
        <v>0</v>
      </c>
      <c r="G8">
        <v>2</v>
      </c>
      <c r="I8" t="s">
        <v>83</v>
      </c>
      <c r="K8" t="s">
        <v>88</v>
      </c>
      <c r="M8" t="s">
        <v>98</v>
      </c>
      <c r="O8" t="s">
        <v>166</v>
      </c>
    </row>
    <row r="9" spans="1:21">
      <c r="A9" s="2" t="s">
        <v>14</v>
      </c>
      <c r="B9" s="2" t="s">
        <v>16</v>
      </c>
      <c r="C9" s="2" t="s">
        <v>72</v>
      </c>
      <c r="D9" s="5" t="s">
        <v>180</v>
      </c>
      <c r="E9">
        <f t="shared" si="0"/>
        <v>5</v>
      </c>
      <c r="F9">
        <v>2</v>
      </c>
      <c r="G9">
        <v>2</v>
      </c>
      <c r="I9" t="s">
        <v>100</v>
      </c>
      <c r="K9" t="s">
        <v>104</v>
      </c>
      <c r="M9" t="s">
        <v>99</v>
      </c>
      <c r="O9" t="s">
        <v>167</v>
      </c>
      <c r="U9" t="s">
        <v>179</v>
      </c>
    </row>
    <row r="10" spans="1:21">
      <c r="C10" s="2" t="s">
        <v>73</v>
      </c>
      <c r="D10" s="5" t="s">
        <v>181</v>
      </c>
      <c r="E10">
        <f t="shared" si="0"/>
        <v>2</v>
      </c>
      <c r="F10">
        <v>2</v>
      </c>
      <c r="G10">
        <v>2</v>
      </c>
      <c r="I10" t="s">
        <v>101</v>
      </c>
      <c r="K10" t="s">
        <v>105</v>
      </c>
      <c r="M10" t="s">
        <v>108</v>
      </c>
      <c r="O10" t="s">
        <v>168</v>
      </c>
    </row>
    <row r="11" spans="1:21">
      <c r="C11" s="2" t="s">
        <v>74</v>
      </c>
      <c r="D11" s="5" t="s">
        <v>182</v>
      </c>
      <c r="E11">
        <f t="shared" si="0"/>
        <v>5</v>
      </c>
      <c r="F11">
        <v>2</v>
      </c>
      <c r="G11">
        <v>2</v>
      </c>
      <c r="I11" t="s">
        <v>102</v>
      </c>
      <c r="K11" t="s">
        <v>106</v>
      </c>
      <c r="M11" t="s">
        <v>109</v>
      </c>
      <c r="O11" t="s">
        <v>169</v>
      </c>
    </row>
    <row r="12" spans="1:21">
      <c r="C12" s="2" t="s">
        <v>75</v>
      </c>
      <c r="D12" s="5" t="s">
        <v>183</v>
      </c>
      <c r="E12">
        <f t="shared" si="0"/>
        <v>3</v>
      </c>
      <c r="F12">
        <v>0</v>
      </c>
      <c r="G12">
        <v>2</v>
      </c>
      <c r="I12" t="s">
        <v>103</v>
      </c>
      <c r="K12" t="s">
        <v>107</v>
      </c>
      <c r="M12" t="s">
        <v>110</v>
      </c>
      <c r="O12" t="s">
        <v>170</v>
      </c>
    </row>
    <row r="13" spans="1:21">
      <c r="C13" s="2" t="s">
        <v>76</v>
      </c>
      <c r="D13" s="5" t="s">
        <v>184</v>
      </c>
      <c r="E13">
        <f t="shared" si="0"/>
        <v>3</v>
      </c>
      <c r="F13">
        <v>0</v>
      </c>
      <c r="G13">
        <v>2</v>
      </c>
      <c r="I13" t="s">
        <v>112</v>
      </c>
      <c r="K13" t="s">
        <v>117</v>
      </c>
      <c r="M13" t="s">
        <v>111</v>
      </c>
      <c r="O13" t="s">
        <v>171</v>
      </c>
    </row>
    <row r="14" spans="1:21">
      <c r="B14" s="2" t="s">
        <v>14</v>
      </c>
      <c r="D14" s="5" t="s">
        <v>185</v>
      </c>
      <c r="E14">
        <f t="shared" si="0"/>
        <v>25</v>
      </c>
      <c r="F14">
        <v>0</v>
      </c>
      <c r="G14">
        <v>4</v>
      </c>
      <c r="I14" t="s">
        <v>114</v>
      </c>
      <c r="K14" t="s">
        <v>119</v>
      </c>
      <c r="O14" t="s">
        <v>172</v>
      </c>
    </row>
    <row r="15" spans="1:21">
      <c r="A15" s="2" t="s">
        <v>21</v>
      </c>
      <c r="B15" s="2" t="s">
        <v>16</v>
      </c>
      <c r="D15" s="5" t="s">
        <v>186</v>
      </c>
      <c r="E15">
        <f t="shared" si="0"/>
        <v>8</v>
      </c>
      <c r="G15">
        <v>4</v>
      </c>
      <c r="I15" t="s">
        <v>115</v>
      </c>
      <c r="K15" t="s">
        <v>120</v>
      </c>
      <c r="O15" t="s">
        <v>173</v>
      </c>
    </row>
    <row r="16" spans="1:21">
      <c r="B16" s="2" t="s">
        <v>14</v>
      </c>
      <c r="C16" s="2" t="s">
        <v>16</v>
      </c>
      <c r="E16" t="str">
        <f t="shared" si="0"/>
        <v/>
      </c>
      <c r="G16">
        <v>3</v>
      </c>
      <c r="I16" t="s">
        <v>116</v>
      </c>
      <c r="K16" t="s">
        <v>121</v>
      </c>
    </row>
    <row r="17" spans="1:9">
      <c r="C17" s="2" t="s">
        <v>14</v>
      </c>
      <c r="E17" t="str">
        <f t="shared" si="0"/>
        <v/>
      </c>
      <c r="G17">
        <v>3</v>
      </c>
    </row>
    <row r="18" spans="1:9">
      <c r="B18" s="2" t="s">
        <v>21</v>
      </c>
      <c r="E18" t="str">
        <f t="shared" si="0"/>
        <v/>
      </c>
      <c r="G18">
        <v>4</v>
      </c>
      <c r="I18">
        <f>6.97*1000/8/8*4*3/2</f>
        <v>653.4375</v>
      </c>
    </row>
    <row r="19" spans="1:9">
      <c r="B19" s="2" t="s">
        <v>13</v>
      </c>
      <c r="C19" s="2" t="s">
        <v>16</v>
      </c>
      <c r="E19" t="str">
        <f t="shared" si="0"/>
        <v/>
      </c>
      <c r="G19">
        <v>3</v>
      </c>
    </row>
    <row r="20" spans="1:9">
      <c r="C20" s="2" t="s">
        <v>14</v>
      </c>
      <c r="E20" t="str">
        <f t="shared" si="0"/>
        <v/>
      </c>
      <c r="G20">
        <v>3</v>
      </c>
    </row>
    <row r="21" spans="1:9">
      <c r="B21" s="2" t="s">
        <v>77</v>
      </c>
      <c r="C21" s="2" t="s">
        <v>16</v>
      </c>
      <c r="E21" t="str">
        <f t="shared" si="0"/>
        <v/>
      </c>
      <c r="G21">
        <v>3</v>
      </c>
    </row>
    <row r="22" spans="1:9">
      <c r="C22" s="2" t="s">
        <v>14</v>
      </c>
      <c r="E22" t="str">
        <f t="shared" si="0"/>
        <v/>
      </c>
      <c r="G22">
        <v>3</v>
      </c>
    </row>
    <row r="23" spans="1:9">
      <c r="A23" s="2" t="s">
        <v>13</v>
      </c>
      <c r="B23" s="2" t="s">
        <v>16</v>
      </c>
      <c r="C23" s="2" t="s">
        <v>16</v>
      </c>
      <c r="E23" t="str">
        <f t="shared" si="0"/>
        <v/>
      </c>
      <c r="G23">
        <v>3</v>
      </c>
      <c r="I23" t="s">
        <v>118</v>
      </c>
    </row>
    <row r="24" spans="1:9">
      <c r="C24" s="2" t="s">
        <v>14</v>
      </c>
      <c r="E24" t="str">
        <f t="shared" si="0"/>
        <v/>
      </c>
      <c r="G24">
        <v>3</v>
      </c>
    </row>
    <row r="25" spans="1:9">
      <c r="B25" s="2" t="s">
        <v>14</v>
      </c>
      <c r="E25" t="str">
        <f t="shared" si="0"/>
        <v/>
      </c>
      <c r="G25">
        <v>4</v>
      </c>
    </row>
    <row r="26" spans="1:9">
      <c r="B26" s="2" t="s">
        <v>21</v>
      </c>
      <c r="E26" t="str">
        <f t="shared" si="0"/>
        <v/>
      </c>
      <c r="G26">
        <v>4</v>
      </c>
    </row>
    <row r="27" spans="1:9">
      <c r="A27" s="2" t="s">
        <v>77</v>
      </c>
      <c r="B27" s="2" t="s">
        <v>16</v>
      </c>
      <c r="C27" s="2" t="s">
        <v>16</v>
      </c>
      <c r="E27" t="str">
        <f t="shared" si="0"/>
        <v/>
      </c>
      <c r="G27">
        <v>4</v>
      </c>
    </row>
    <row r="28" spans="1:9">
      <c r="C28" s="2" t="s">
        <v>14</v>
      </c>
      <c r="E28" t="str">
        <f t="shared" si="0"/>
        <v/>
      </c>
      <c r="G28">
        <v>4</v>
      </c>
    </row>
    <row r="29" spans="1:9">
      <c r="B29" s="2" t="s">
        <v>14</v>
      </c>
      <c r="C29" s="2" t="s">
        <v>16</v>
      </c>
      <c r="E29" t="str">
        <f t="shared" si="0"/>
        <v/>
      </c>
      <c r="G29">
        <v>4</v>
      </c>
    </row>
    <row r="30" spans="1:9">
      <c r="C30" s="2" t="s">
        <v>14</v>
      </c>
      <c r="E30" t="str">
        <f t="shared" si="0"/>
        <v/>
      </c>
      <c r="G30">
        <v>4</v>
      </c>
    </row>
    <row r="31" spans="1:9">
      <c r="B31" s="2" t="s">
        <v>21</v>
      </c>
      <c r="E31" t="str">
        <f t="shared" si="0"/>
        <v/>
      </c>
      <c r="G31">
        <v>4</v>
      </c>
    </row>
    <row r="32" spans="1:9">
      <c r="B32" s="2" t="s">
        <v>13</v>
      </c>
      <c r="E32" t="str">
        <f t="shared" si="0"/>
        <v/>
      </c>
      <c r="G32">
        <v>4</v>
      </c>
    </row>
    <row r="33" spans="2:7">
      <c r="B33" s="2" t="s">
        <v>77</v>
      </c>
      <c r="C33" s="2" t="s">
        <v>16</v>
      </c>
      <c r="E33" t="str">
        <f t="shared" si="0"/>
        <v/>
      </c>
      <c r="G33">
        <v>4</v>
      </c>
    </row>
    <row r="34" spans="2:7">
      <c r="C34" s="2" t="s">
        <v>14</v>
      </c>
      <c r="E34" t="str">
        <f t="shared" si="0"/>
        <v/>
      </c>
      <c r="G34">
        <v>4</v>
      </c>
    </row>
    <row r="35" spans="2:7">
      <c r="B35" s="2" t="s">
        <v>78</v>
      </c>
      <c r="E35" t="str">
        <f t="shared" si="0"/>
        <v/>
      </c>
      <c r="G35">
        <v>4</v>
      </c>
    </row>
    <row r="36" spans="2:7">
      <c r="E36" t="str">
        <f t="shared" si="0"/>
        <v/>
      </c>
    </row>
    <row r="37" spans="2:7">
      <c r="E37" t="str">
        <f t="shared" si="0"/>
        <v/>
      </c>
    </row>
    <row r="38" spans="2:7">
      <c r="E38" t="str">
        <f t="shared" si="0"/>
        <v/>
      </c>
    </row>
    <row r="39" spans="2:7">
      <c r="E39" t="str">
        <f t="shared" si="0"/>
        <v/>
      </c>
    </row>
    <row r="40" spans="2:7">
      <c r="E40" t="str">
        <f t="shared" si="0"/>
        <v/>
      </c>
    </row>
    <row r="41" spans="2:7">
      <c r="E41" t="str">
        <f t="shared" si="0"/>
        <v/>
      </c>
    </row>
    <row r="42" spans="2:7">
      <c r="E42" t="str">
        <f t="shared" si="0"/>
        <v/>
      </c>
    </row>
    <row r="43" spans="2:7">
      <c r="E43" t="str">
        <f t="shared" si="0"/>
        <v/>
      </c>
    </row>
    <row r="44" spans="2:7">
      <c r="E44" t="str">
        <f t="shared" si="0"/>
        <v/>
      </c>
    </row>
    <row r="45" spans="2:7">
      <c r="E45" t="str">
        <f t="shared" si="0"/>
        <v/>
      </c>
    </row>
    <row r="46" spans="2:7">
      <c r="E46" t="str">
        <f t="shared" si="0"/>
        <v/>
      </c>
    </row>
    <row r="47" spans="2:7">
      <c r="E47" t="str">
        <f t="shared" si="0"/>
        <v/>
      </c>
    </row>
    <row r="48" spans="2:7">
      <c r="E48" t="str">
        <f t="shared" si="0"/>
        <v/>
      </c>
    </row>
    <row r="49" spans="5:5">
      <c r="E49" t="str">
        <f t="shared" si="0"/>
        <v/>
      </c>
    </row>
    <row r="50" spans="5:5">
      <c r="E50" t="str">
        <f t="shared" si="0"/>
        <v/>
      </c>
    </row>
    <row r="51" spans="5:5">
      <c r="E51" t="str">
        <f t="shared" si="0"/>
        <v/>
      </c>
    </row>
    <row r="52" spans="5:5">
      <c r="E52" t="str">
        <f t="shared" si="0"/>
        <v/>
      </c>
    </row>
    <row r="53" spans="5:5">
      <c r="E53" t="str">
        <f t="shared" si="0"/>
        <v/>
      </c>
    </row>
    <row r="54" spans="5:5">
      <c r="E54" t="str">
        <f t="shared" si="0"/>
        <v/>
      </c>
    </row>
    <row r="55" spans="5:5">
      <c r="E55" t="str">
        <f t="shared" si="0"/>
        <v/>
      </c>
    </row>
    <row r="56" spans="5:5">
      <c r="E56" t="str">
        <f t="shared" si="0"/>
        <v/>
      </c>
    </row>
    <row r="57" spans="5:5">
      <c r="E57" t="str">
        <f t="shared" si="0"/>
        <v/>
      </c>
    </row>
    <row r="58" spans="5:5">
      <c r="E58" t="str">
        <f t="shared" si="0"/>
        <v/>
      </c>
    </row>
    <row r="59" spans="5:5">
      <c r="E59" t="str">
        <f t="shared" si="0"/>
        <v/>
      </c>
    </row>
    <row r="60" spans="5:5">
      <c r="E60" t="str">
        <f t="shared" si="0"/>
        <v/>
      </c>
    </row>
    <row r="61" spans="5:5">
      <c r="E61" t="str">
        <f t="shared" si="0"/>
        <v/>
      </c>
    </row>
    <row r="62" spans="5:5">
      <c r="E62" t="str">
        <f t="shared" si="0"/>
        <v/>
      </c>
    </row>
    <row r="63" spans="5:5">
      <c r="E63" t="str">
        <f t="shared" si="0"/>
        <v/>
      </c>
    </row>
    <row r="64" spans="5:5">
      <c r="E64" t="str">
        <f t="shared" si="0"/>
        <v/>
      </c>
    </row>
    <row r="65" spans="5:5">
      <c r="E65" t="str">
        <f t="shared" si="0"/>
        <v/>
      </c>
    </row>
    <row r="66" spans="5:5">
      <c r="E66" t="str">
        <f t="shared" si="0"/>
        <v/>
      </c>
    </row>
    <row r="67" spans="5:5">
      <c r="E67" t="str">
        <f t="shared" si="0"/>
        <v/>
      </c>
    </row>
    <row r="68" spans="5:5">
      <c r="E68" t="str">
        <f t="shared" si="0"/>
        <v/>
      </c>
    </row>
    <row r="69" spans="5:5">
      <c r="E69" t="str">
        <f t="shared" ref="E69:E132" si="1">IF(D69&lt;&gt;"",LEN(D69),"")</f>
        <v/>
      </c>
    </row>
    <row r="70" spans="5:5">
      <c r="E70" t="str">
        <f t="shared" si="1"/>
        <v/>
      </c>
    </row>
    <row r="71" spans="5:5">
      <c r="E71" t="str">
        <f t="shared" si="1"/>
        <v/>
      </c>
    </row>
    <row r="72" spans="5:5">
      <c r="E72" t="str">
        <f t="shared" si="1"/>
        <v/>
      </c>
    </row>
    <row r="73" spans="5:5">
      <c r="E73" t="str">
        <f t="shared" si="1"/>
        <v/>
      </c>
    </row>
    <row r="74" spans="5:5">
      <c r="E74" t="str">
        <f t="shared" si="1"/>
        <v/>
      </c>
    </row>
    <row r="75" spans="5:5">
      <c r="E75" t="str">
        <f t="shared" si="1"/>
        <v/>
      </c>
    </row>
    <row r="76" spans="5:5">
      <c r="E76" t="str">
        <f t="shared" si="1"/>
        <v/>
      </c>
    </row>
    <row r="77" spans="5:5">
      <c r="E77" t="str">
        <f t="shared" si="1"/>
        <v/>
      </c>
    </row>
    <row r="78" spans="5:5">
      <c r="E78" t="str">
        <f t="shared" si="1"/>
        <v/>
      </c>
    </row>
    <row r="79" spans="5:5">
      <c r="E79" t="str">
        <f t="shared" si="1"/>
        <v/>
      </c>
    </row>
    <row r="80" spans="5:5">
      <c r="E80" t="str">
        <f t="shared" si="1"/>
        <v/>
      </c>
    </row>
    <row r="81" spans="5:5">
      <c r="E81" t="str">
        <f t="shared" si="1"/>
        <v/>
      </c>
    </row>
    <row r="82" spans="5:5">
      <c r="E82" t="str">
        <f t="shared" si="1"/>
        <v/>
      </c>
    </row>
    <row r="83" spans="5:5">
      <c r="E83" t="str">
        <f t="shared" si="1"/>
        <v/>
      </c>
    </row>
    <row r="84" spans="5:5">
      <c r="E84" t="str">
        <f t="shared" si="1"/>
        <v/>
      </c>
    </row>
    <row r="85" spans="5:5">
      <c r="E85" t="str">
        <f t="shared" si="1"/>
        <v/>
      </c>
    </row>
    <row r="86" spans="5:5">
      <c r="E86" t="str">
        <f t="shared" si="1"/>
        <v/>
      </c>
    </row>
    <row r="87" spans="5:5">
      <c r="E87" t="str">
        <f t="shared" si="1"/>
        <v/>
      </c>
    </row>
    <row r="88" spans="5:5">
      <c r="E88" t="str">
        <f t="shared" si="1"/>
        <v/>
      </c>
    </row>
    <row r="89" spans="5:5">
      <c r="E89" t="str">
        <f t="shared" si="1"/>
        <v/>
      </c>
    </row>
    <row r="90" spans="5:5">
      <c r="E90" t="str">
        <f t="shared" si="1"/>
        <v/>
      </c>
    </row>
    <row r="91" spans="5:5">
      <c r="E91" t="str">
        <f t="shared" si="1"/>
        <v/>
      </c>
    </row>
    <row r="92" spans="5:5">
      <c r="E92" t="str">
        <f t="shared" si="1"/>
        <v/>
      </c>
    </row>
    <row r="93" spans="5:5">
      <c r="E93" t="str">
        <f t="shared" si="1"/>
        <v/>
      </c>
    </row>
    <row r="94" spans="5:5">
      <c r="E94" t="str">
        <f t="shared" si="1"/>
        <v/>
      </c>
    </row>
    <row r="95" spans="5:5">
      <c r="E95" t="str">
        <f t="shared" si="1"/>
        <v/>
      </c>
    </row>
    <row r="96" spans="5:5">
      <c r="E96" t="str">
        <f t="shared" si="1"/>
        <v/>
      </c>
    </row>
    <row r="97" spans="5:5">
      <c r="E97" t="str">
        <f t="shared" si="1"/>
        <v/>
      </c>
    </row>
    <row r="98" spans="5:5">
      <c r="E98" t="str">
        <f t="shared" si="1"/>
        <v/>
      </c>
    </row>
    <row r="99" spans="5:5">
      <c r="E99" t="str">
        <f t="shared" si="1"/>
        <v/>
      </c>
    </row>
    <row r="100" spans="5:5">
      <c r="E100" t="str">
        <f t="shared" si="1"/>
        <v/>
      </c>
    </row>
    <row r="101" spans="5:5">
      <c r="E101" t="str">
        <f t="shared" si="1"/>
        <v/>
      </c>
    </row>
    <row r="102" spans="5:5">
      <c r="E102" t="str">
        <f t="shared" si="1"/>
        <v/>
      </c>
    </row>
    <row r="103" spans="5:5">
      <c r="E103" t="str">
        <f t="shared" si="1"/>
        <v/>
      </c>
    </row>
    <row r="104" spans="5:5">
      <c r="E104" t="str">
        <f t="shared" si="1"/>
        <v/>
      </c>
    </row>
    <row r="105" spans="5:5">
      <c r="E105" t="str">
        <f t="shared" si="1"/>
        <v/>
      </c>
    </row>
    <row r="106" spans="5:5">
      <c r="E106" t="str">
        <f t="shared" si="1"/>
        <v/>
      </c>
    </row>
    <row r="107" spans="5:5">
      <c r="E107" t="str">
        <f t="shared" si="1"/>
        <v/>
      </c>
    </row>
    <row r="108" spans="5:5">
      <c r="E108" t="str">
        <f t="shared" si="1"/>
        <v/>
      </c>
    </row>
    <row r="109" spans="5:5">
      <c r="E109" t="str">
        <f t="shared" si="1"/>
        <v/>
      </c>
    </row>
    <row r="110" spans="5:5">
      <c r="E110" t="str">
        <f t="shared" si="1"/>
        <v/>
      </c>
    </row>
    <row r="111" spans="5:5">
      <c r="E111" t="str">
        <f t="shared" si="1"/>
        <v/>
      </c>
    </row>
    <row r="112" spans="5:5">
      <c r="E112" t="str">
        <f t="shared" si="1"/>
        <v/>
      </c>
    </row>
    <row r="113" spans="5:5">
      <c r="E113" t="str">
        <f t="shared" si="1"/>
        <v/>
      </c>
    </row>
    <row r="114" spans="5:5">
      <c r="E114" t="str">
        <f t="shared" si="1"/>
        <v/>
      </c>
    </row>
    <row r="115" spans="5:5">
      <c r="E115" t="str">
        <f t="shared" si="1"/>
        <v/>
      </c>
    </row>
    <row r="116" spans="5:5">
      <c r="E116" t="str">
        <f t="shared" si="1"/>
        <v/>
      </c>
    </row>
    <row r="117" spans="5:5">
      <c r="E117" t="str">
        <f t="shared" si="1"/>
        <v/>
      </c>
    </row>
    <row r="118" spans="5:5">
      <c r="E118" t="str">
        <f t="shared" si="1"/>
        <v/>
      </c>
    </row>
    <row r="119" spans="5:5">
      <c r="E119" t="str">
        <f t="shared" si="1"/>
        <v/>
      </c>
    </row>
    <row r="120" spans="5:5">
      <c r="E120" t="str">
        <f t="shared" si="1"/>
        <v/>
      </c>
    </row>
    <row r="121" spans="5:5">
      <c r="E121" t="str">
        <f t="shared" si="1"/>
        <v/>
      </c>
    </row>
    <row r="122" spans="5:5">
      <c r="E122" t="str">
        <f t="shared" si="1"/>
        <v/>
      </c>
    </row>
    <row r="123" spans="5:5">
      <c r="E123" t="str">
        <f t="shared" si="1"/>
        <v/>
      </c>
    </row>
    <row r="124" spans="5:5">
      <c r="E124" t="str">
        <f t="shared" si="1"/>
        <v/>
      </c>
    </row>
    <row r="125" spans="5:5">
      <c r="E125" t="str">
        <f t="shared" si="1"/>
        <v/>
      </c>
    </row>
    <row r="126" spans="5:5">
      <c r="E126" t="str">
        <f t="shared" si="1"/>
        <v/>
      </c>
    </row>
    <row r="127" spans="5:5">
      <c r="E127" t="str">
        <f t="shared" si="1"/>
        <v/>
      </c>
    </row>
    <row r="128" spans="5:5">
      <c r="E128" t="str">
        <f t="shared" si="1"/>
        <v/>
      </c>
    </row>
    <row r="129" spans="5:5">
      <c r="E129" t="str">
        <f t="shared" si="1"/>
        <v/>
      </c>
    </row>
    <row r="130" spans="5:5">
      <c r="E130" t="str">
        <f t="shared" si="1"/>
        <v/>
      </c>
    </row>
    <row r="131" spans="5:5">
      <c r="E131" t="str">
        <f t="shared" si="1"/>
        <v/>
      </c>
    </row>
    <row r="132" spans="5:5">
      <c r="E132" t="str">
        <f t="shared" si="1"/>
        <v/>
      </c>
    </row>
    <row r="133" spans="5:5">
      <c r="E133" t="str">
        <f t="shared" ref="E133:E167" si="2">IF(D133&lt;&gt;"",LEN(D133),"")</f>
        <v/>
      </c>
    </row>
    <row r="134" spans="5:5">
      <c r="E134" t="str">
        <f t="shared" si="2"/>
        <v/>
      </c>
    </row>
    <row r="135" spans="5:5">
      <c r="E135" t="str">
        <f t="shared" si="2"/>
        <v/>
      </c>
    </row>
    <row r="136" spans="5:5">
      <c r="E136" t="str">
        <f t="shared" si="2"/>
        <v/>
      </c>
    </row>
    <row r="137" spans="5:5">
      <c r="E137" t="str">
        <f t="shared" si="2"/>
        <v/>
      </c>
    </row>
    <row r="138" spans="5:5">
      <c r="E138" t="str">
        <f t="shared" si="2"/>
        <v/>
      </c>
    </row>
    <row r="139" spans="5:5">
      <c r="E139" t="str">
        <f t="shared" si="2"/>
        <v/>
      </c>
    </row>
    <row r="140" spans="5:5">
      <c r="E140" t="str">
        <f t="shared" si="2"/>
        <v/>
      </c>
    </row>
    <row r="141" spans="5:5">
      <c r="E141" t="str">
        <f t="shared" si="2"/>
        <v/>
      </c>
    </row>
    <row r="142" spans="5:5">
      <c r="E142" t="str">
        <f t="shared" si="2"/>
        <v/>
      </c>
    </row>
    <row r="143" spans="5:5">
      <c r="E143" t="str">
        <f t="shared" si="2"/>
        <v/>
      </c>
    </row>
    <row r="144" spans="5:5">
      <c r="E144" t="str">
        <f t="shared" si="2"/>
        <v/>
      </c>
    </row>
    <row r="145" spans="5:5">
      <c r="E145" t="str">
        <f t="shared" si="2"/>
        <v/>
      </c>
    </row>
    <row r="146" spans="5:5">
      <c r="E146" t="str">
        <f t="shared" si="2"/>
        <v/>
      </c>
    </row>
    <row r="147" spans="5:5">
      <c r="E147" t="str">
        <f t="shared" si="2"/>
        <v/>
      </c>
    </row>
    <row r="148" spans="5:5">
      <c r="E148" t="str">
        <f t="shared" si="2"/>
        <v/>
      </c>
    </row>
    <row r="149" spans="5:5">
      <c r="E149" t="str">
        <f t="shared" si="2"/>
        <v/>
      </c>
    </row>
    <row r="150" spans="5:5">
      <c r="E150" t="str">
        <f t="shared" si="2"/>
        <v/>
      </c>
    </row>
    <row r="151" spans="5:5">
      <c r="E151" t="str">
        <f t="shared" si="2"/>
        <v/>
      </c>
    </row>
    <row r="152" spans="5:5">
      <c r="E152" t="str">
        <f t="shared" si="2"/>
        <v/>
      </c>
    </row>
    <row r="153" spans="5:5">
      <c r="E153" t="str">
        <f t="shared" si="2"/>
        <v/>
      </c>
    </row>
    <row r="154" spans="5:5">
      <c r="E154" t="str">
        <f t="shared" si="2"/>
        <v/>
      </c>
    </row>
    <row r="155" spans="5:5">
      <c r="E155" t="str">
        <f t="shared" si="2"/>
        <v/>
      </c>
    </row>
    <row r="156" spans="5:5">
      <c r="E156" t="str">
        <f t="shared" si="2"/>
        <v/>
      </c>
    </row>
    <row r="157" spans="5:5">
      <c r="E157" t="str">
        <f t="shared" si="2"/>
        <v/>
      </c>
    </row>
    <row r="158" spans="5:5">
      <c r="E158" t="str">
        <f t="shared" si="2"/>
        <v/>
      </c>
    </row>
    <row r="159" spans="5:5">
      <c r="E159" t="str">
        <f t="shared" si="2"/>
        <v/>
      </c>
    </row>
    <row r="160" spans="5:5">
      <c r="E160" t="str">
        <f t="shared" si="2"/>
        <v/>
      </c>
    </row>
    <row r="161" spans="5:5">
      <c r="E161" t="str">
        <f t="shared" si="2"/>
        <v/>
      </c>
    </row>
    <row r="162" spans="5:5">
      <c r="E162" t="str">
        <f t="shared" si="2"/>
        <v/>
      </c>
    </row>
    <row r="163" spans="5:5">
      <c r="E163" t="str">
        <f t="shared" si="2"/>
        <v/>
      </c>
    </row>
    <row r="164" spans="5:5">
      <c r="E164" t="str">
        <f t="shared" si="2"/>
        <v/>
      </c>
    </row>
    <row r="165" spans="5:5">
      <c r="E165" t="str">
        <f t="shared" si="2"/>
        <v/>
      </c>
    </row>
    <row r="166" spans="5:5">
      <c r="E166" t="str">
        <f t="shared" si="2"/>
        <v/>
      </c>
    </row>
    <row r="167" spans="5:5">
      <c r="E167" t="str">
        <f t="shared" si="2"/>
        <v/>
      </c>
    </row>
  </sheetData>
  <mergeCells count="3">
    <mergeCell ref="A1:C1"/>
    <mergeCell ref="A2:C2"/>
    <mergeCell ref="A3:C3"/>
  </mergeCells>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59FDD-170C-4FD1-A67C-8A6BA838679E}">
  <dimension ref="A2:D6"/>
  <sheetViews>
    <sheetView workbookViewId="0">
      <selection activeCell="C6" sqref="C6"/>
    </sheetView>
  </sheetViews>
  <sheetFormatPr defaultRowHeight="18.75"/>
  <cols>
    <col min="2" max="2" width="11" bestFit="1" customWidth="1"/>
  </cols>
  <sheetData>
    <row r="2" spans="1:4">
      <c r="A2" t="s">
        <v>137</v>
      </c>
      <c r="B2" t="s">
        <v>138</v>
      </c>
      <c r="C2" t="s">
        <v>139</v>
      </c>
      <c r="D2" t="s">
        <v>140</v>
      </c>
    </row>
    <row r="3" spans="1:4">
      <c r="B3" t="s">
        <v>141</v>
      </c>
      <c r="C3">
        <v>2</v>
      </c>
      <c r="D3" t="s">
        <v>144</v>
      </c>
    </row>
    <row r="4" spans="1:4">
      <c r="B4" t="s">
        <v>142</v>
      </c>
      <c r="C4">
        <v>1</v>
      </c>
      <c r="D4" t="s">
        <v>144</v>
      </c>
    </row>
    <row r="5" spans="1:4">
      <c r="B5" t="s">
        <v>143</v>
      </c>
      <c r="C5">
        <v>2</v>
      </c>
      <c r="D5" t="s">
        <v>144</v>
      </c>
    </row>
    <row r="6" spans="1:4">
      <c r="B6" t="s">
        <v>145</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レビュー</vt:lpstr>
      <vt:lpstr>format</vt:lpstr>
      <vt:lpstr>1</vt:lpstr>
      <vt:lpstr>2</vt:lpstr>
      <vt:lpstr>3_1</vt:lpstr>
      <vt:lpstr>3_2</vt:lpstr>
      <vt:lpstr>荷物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yoshinaga</dc:creator>
  <cp:lastModifiedBy>信一 吉永</cp:lastModifiedBy>
  <dcterms:created xsi:type="dcterms:W3CDTF">2015-06-05T18:19:34Z</dcterms:created>
  <dcterms:modified xsi:type="dcterms:W3CDTF">2026-09-13T03:03:04Z</dcterms:modified>
</cp:coreProperties>
</file>