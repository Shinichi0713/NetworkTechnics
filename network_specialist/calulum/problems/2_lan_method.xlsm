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D:\PycharmProjects\security_specialist\network_tech\network_specialist\calulum\problems\"/>
    </mc:Choice>
  </mc:AlternateContent>
  <xr:revisionPtr revIDLastSave="0" documentId="13_ncr:1_{ABAB0129-DA0A-42C4-886F-FF3FBAB8B59E}" xr6:coauthVersionLast="47" xr6:coauthVersionMax="47" xr10:uidLastSave="{00000000-0000-0000-0000-000000000000}"/>
  <bookViews>
    <workbookView xWindow="-120" yWindow="-120" windowWidth="29040" windowHeight="15720" activeTab="5" xr2:uid="{00000000-000D-0000-FFFF-FFFF00000000}"/>
  </bookViews>
  <sheets>
    <sheet name="レビュー" sheetId="2" r:id="rId1"/>
    <sheet name="format" sheetId="4" r:id="rId2"/>
    <sheet name="1" sheetId="9" r:id="rId3"/>
    <sheet name="2" sheetId="10" r:id="rId4"/>
    <sheet name="3_1" sheetId="12" r:id="rId5"/>
    <sheet name="3_2" sheetId="11" r:id="rId6"/>
    <sheet name="荷物" sheetId="13" r:id="rId7"/>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2" i="11" l="1"/>
  <c r="I18" i="11"/>
  <c r="D22" i="12"/>
  <c r="E22" i="12" s="1"/>
  <c r="M15" i="12"/>
  <c r="E167" i="12"/>
  <c r="E166" i="12"/>
  <c r="E165" i="12"/>
  <c r="E164" i="12"/>
  <c r="E163" i="12"/>
  <c r="E162" i="12"/>
  <c r="E161" i="12"/>
  <c r="E160" i="12"/>
  <c r="E159" i="12"/>
  <c r="E158" i="12"/>
  <c r="E157" i="12"/>
  <c r="E156" i="12"/>
  <c r="E155" i="12"/>
  <c r="E154" i="12"/>
  <c r="E153" i="12"/>
  <c r="E152" i="12"/>
  <c r="E151" i="12"/>
  <c r="E150" i="12"/>
  <c r="E149" i="12"/>
  <c r="E148" i="12"/>
  <c r="E147" i="12"/>
  <c r="E146" i="12"/>
  <c r="E145" i="12"/>
  <c r="E144" i="12"/>
  <c r="E143" i="12"/>
  <c r="E142" i="12"/>
  <c r="E141" i="12"/>
  <c r="E140" i="12"/>
  <c r="E139" i="12"/>
  <c r="E138" i="12"/>
  <c r="E137" i="12"/>
  <c r="E136" i="12"/>
  <c r="E135" i="12"/>
  <c r="E134" i="12"/>
  <c r="E133" i="12"/>
  <c r="E132" i="12"/>
  <c r="E131" i="12"/>
  <c r="E130" i="12"/>
  <c r="E129" i="12"/>
  <c r="E128" i="12"/>
  <c r="E127" i="12"/>
  <c r="E126" i="12"/>
  <c r="E125" i="12"/>
  <c r="E124" i="12"/>
  <c r="E123" i="12"/>
  <c r="E122" i="12"/>
  <c r="E121" i="12"/>
  <c r="E120" i="12"/>
  <c r="E119" i="12"/>
  <c r="E118" i="12"/>
  <c r="E117" i="12"/>
  <c r="E116" i="12"/>
  <c r="E115" i="12"/>
  <c r="E114" i="12"/>
  <c r="E113" i="12"/>
  <c r="E112" i="12"/>
  <c r="E111" i="12"/>
  <c r="E110" i="12"/>
  <c r="E109" i="12"/>
  <c r="E108" i="12"/>
  <c r="E107" i="12"/>
  <c r="E106" i="12"/>
  <c r="E105" i="12"/>
  <c r="E104" i="12"/>
  <c r="E103" i="12"/>
  <c r="E102" i="12"/>
  <c r="E101" i="12"/>
  <c r="E100" i="12"/>
  <c r="E99" i="12"/>
  <c r="E98" i="12"/>
  <c r="E97" i="12"/>
  <c r="E96" i="12"/>
  <c r="E95" i="12"/>
  <c r="E94" i="12"/>
  <c r="E93" i="12"/>
  <c r="E92" i="12"/>
  <c r="E91" i="12"/>
  <c r="E90" i="12"/>
  <c r="E89" i="12"/>
  <c r="E88" i="12"/>
  <c r="E87" i="12"/>
  <c r="E86" i="12"/>
  <c r="E85" i="12"/>
  <c r="E84" i="12"/>
  <c r="E83" i="12"/>
  <c r="E82" i="12"/>
  <c r="E81" i="12"/>
  <c r="E80" i="12"/>
  <c r="E79" i="12"/>
  <c r="E78" i="12"/>
  <c r="E77" i="12"/>
  <c r="E76" i="12"/>
  <c r="E75" i="12"/>
  <c r="E74" i="12"/>
  <c r="E73" i="12"/>
  <c r="E72" i="12"/>
  <c r="E71" i="12"/>
  <c r="E70" i="12"/>
  <c r="E69" i="12"/>
  <c r="E68" i="12"/>
  <c r="E67" i="12"/>
  <c r="E66" i="12"/>
  <c r="E65" i="12"/>
  <c r="E64" i="12"/>
  <c r="E63" i="12"/>
  <c r="E62" i="12"/>
  <c r="E61" i="12"/>
  <c r="E60" i="12"/>
  <c r="E59" i="12"/>
  <c r="E58" i="12"/>
  <c r="E57" i="12"/>
  <c r="E56" i="12"/>
  <c r="E55" i="12"/>
  <c r="E54" i="12"/>
  <c r="E53" i="12"/>
  <c r="E52" i="12"/>
  <c r="E51" i="12"/>
  <c r="E50" i="12"/>
  <c r="E49" i="12"/>
  <c r="E48" i="12"/>
  <c r="E47" i="12"/>
  <c r="E46" i="12"/>
  <c r="E45" i="12"/>
  <c r="E44" i="12"/>
  <c r="E43" i="12"/>
  <c r="E42" i="12"/>
  <c r="E41" i="12"/>
  <c r="E40" i="12"/>
  <c r="E39" i="12"/>
  <c r="E38" i="12"/>
  <c r="E37" i="12"/>
  <c r="E36" i="12"/>
  <c r="E35" i="12"/>
  <c r="E34" i="12"/>
  <c r="E33" i="12"/>
  <c r="E32" i="12"/>
  <c r="E31" i="12"/>
  <c r="E30" i="12"/>
  <c r="E29" i="12"/>
  <c r="E28" i="12"/>
  <c r="E27" i="12"/>
  <c r="E26" i="12"/>
  <c r="E25" i="12"/>
  <c r="E24" i="12"/>
  <c r="E23" i="12"/>
  <c r="E21" i="12"/>
  <c r="E20" i="12"/>
  <c r="E19" i="12"/>
  <c r="E18" i="12"/>
  <c r="E17" i="12"/>
  <c r="E16" i="12"/>
  <c r="E15" i="12"/>
  <c r="E14" i="12"/>
  <c r="E13" i="12"/>
  <c r="E12" i="12"/>
  <c r="E11" i="12"/>
  <c r="E10" i="12"/>
  <c r="E9" i="12"/>
  <c r="E8" i="12"/>
  <c r="E7" i="12"/>
  <c r="E6" i="12"/>
  <c r="E5" i="12"/>
  <c r="E4" i="12"/>
  <c r="G2" i="12"/>
  <c r="F2" i="12"/>
  <c r="E167" i="1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E91" i="11"/>
  <c r="E90" i="11"/>
  <c r="E89" i="11"/>
  <c r="E88" i="11"/>
  <c r="E87" i="11"/>
  <c r="E86" i="11"/>
  <c r="E85" i="11"/>
  <c r="E84" i="11"/>
  <c r="E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G2" i="11"/>
  <c r="F2" i="11"/>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G2" i="10"/>
  <c r="F2" i="10"/>
  <c r="E18" i="9"/>
  <c r="E17"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E92" i="9"/>
  <c r="E91" i="9"/>
  <c r="E90" i="9"/>
  <c r="E89" i="9"/>
  <c r="E88" i="9"/>
  <c r="E87" i="9"/>
  <c r="E86" i="9"/>
  <c r="E85" i="9"/>
  <c r="E84" i="9"/>
  <c r="E83" i="9"/>
  <c r="E82" i="9"/>
  <c r="E81" i="9"/>
  <c r="E80" i="9"/>
  <c r="E79" i="9"/>
  <c r="E78" i="9"/>
  <c r="E77" i="9"/>
  <c r="E76" i="9"/>
  <c r="E75" i="9"/>
  <c r="E74" i="9"/>
  <c r="E73" i="9"/>
  <c r="E72" i="9"/>
  <c r="E71" i="9"/>
  <c r="E70" i="9"/>
  <c r="E69" i="9"/>
  <c r="E68" i="9"/>
  <c r="E67" i="9"/>
  <c r="E66" i="9"/>
  <c r="E65" i="9"/>
  <c r="E64" i="9"/>
  <c r="E63" i="9"/>
  <c r="E62" i="9"/>
  <c r="E61" i="9"/>
  <c r="E60" i="9"/>
  <c r="E59" i="9"/>
  <c r="E58" i="9"/>
  <c r="E57" i="9"/>
  <c r="E56" i="9"/>
  <c r="E55" i="9"/>
  <c r="E54" i="9"/>
  <c r="E53" i="9"/>
  <c r="E52" i="9"/>
  <c r="E51" i="9"/>
  <c r="E50" i="9"/>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6" i="9"/>
  <c r="E15" i="9"/>
  <c r="E14" i="9"/>
  <c r="E13" i="9"/>
  <c r="E12" i="9"/>
  <c r="E11" i="9"/>
  <c r="E10" i="9"/>
  <c r="E9" i="9"/>
  <c r="E8" i="9"/>
  <c r="E7" i="9"/>
  <c r="E6" i="9"/>
  <c r="E5" i="9"/>
  <c r="E4" i="9"/>
  <c r="G2" i="9"/>
  <c r="F2" i="9"/>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<sst xmlns="http://schemas.openxmlformats.org/spreadsheetml/2006/main" count="394" uniqueCount="210">
  <si>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</si>
  <si>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</si>
  <si>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</si>
  <si>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</si>
  <si>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</si>
  <si>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</si>
  <si>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</si>
  <si>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</si>
  <si>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</si>
  <si>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</si>
  <si>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</si>
  <si>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</si>
  <si>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オ</t>
    <phoneticPr fontId="1"/>
  </si>
  <si>
    <t>4</t>
    <phoneticPr fontId="1"/>
  </si>
  <si>
    <t>2</t>
    <phoneticPr fontId="1"/>
  </si>
  <si>
    <t>重点対策</t>
    <rPh sb="0" eb="4">
      <t>ジュウテンタイサク</t>
    </rPh>
    <phoneticPr fontId="1"/>
  </si>
  <si>
    <t>1</t>
    <phoneticPr fontId="1"/>
  </si>
  <si>
    <t>ア</t>
    <phoneticPr fontId="1"/>
  </si>
  <si>
    <t>イ</t>
    <phoneticPr fontId="1"/>
  </si>
  <si>
    <t>ウ</t>
    <phoneticPr fontId="1"/>
  </si>
  <si>
    <t>エ</t>
    <phoneticPr fontId="1"/>
  </si>
  <si>
    <t>3</t>
    <phoneticPr fontId="1"/>
  </si>
  <si>
    <t>PSE</t>
    <phoneticPr fontId="1"/>
  </si>
  <si>
    <t>PoE</t>
    <phoneticPr fontId="1"/>
  </si>
  <si>
    <t>奇数番号</t>
    <rPh sb="0" eb="4">
      <t>キスウバンゴウ</t>
    </rPh>
    <phoneticPr fontId="1"/>
  </si>
  <si>
    <t>IEEE802.3at</t>
    <phoneticPr fontId="1"/>
  </si>
  <si>
    <t>スタック接続が可能</t>
    <rPh sb="4" eb="6">
      <t>セツゾク</t>
    </rPh>
    <rPh sb="7" eb="9">
      <t>カノウ</t>
    </rPh>
    <phoneticPr fontId="1"/>
  </si>
  <si>
    <t>スタック専用ポートが存在</t>
    <rPh sb="4" eb="6">
      <t>センヨウ</t>
    </rPh>
    <rPh sb="10" eb="12">
      <t>ソンザイ</t>
    </rPh>
    <phoneticPr fontId="1"/>
  </si>
  <si>
    <t>inポートを接続しリングを構成する</t>
    <rPh sb="6" eb="8">
      <t>セツゾク</t>
    </rPh>
    <rPh sb="13" eb="15">
      <t>コウセイ</t>
    </rPh>
    <phoneticPr fontId="1"/>
  </si>
  <si>
    <t>交互にin-outを接続する</t>
    <rPh sb="0" eb="2">
      <t>コウゴ</t>
    </rPh>
    <rPh sb="10" eb="12">
      <t>セツゾク</t>
    </rPh>
    <phoneticPr fontId="1"/>
  </si>
  <si>
    <t>８ポートから降順に接続</t>
    <rPh sb="6" eb="8">
      <t>コウジュン</t>
    </rPh>
    <rPh sb="9" eb="11">
      <t>セツゾク</t>
    </rPh>
    <phoneticPr fontId="1"/>
  </si>
  <si>
    <t>残りポートは有線LAN</t>
    <rPh sb="0" eb="1">
      <t>ノコ</t>
    </rPh>
    <rPh sb="6" eb="8">
      <t>ユウセン</t>
    </rPh>
    <phoneticPr fontId="1"/>
  </si>
  <si>
    <t>トンネルに参加するとトンネル</t>
    <rPh sb="5" eb="7">
      <t>サンカ</t>
    </rPh>
    <phoneticPr fontId="1"/>
  </si>
  <si>
    <t>データ用通信の流れ</t>
    <rPh sb="3" eb="4">
      <t>ヨウ</t>
    </rPh>
    <rPh sb="4" eb="6">
      <t>ツウシン</t>
    </rPh>
    <rPh sb="7" eb="8">
      <t>ナガ</t>
    </rPh>
    <phoneticPr fontId="1"/>
  </si>
  <si>
    <t>WLCとAPのトンネル構築</t>
    <rPh sb="11" eb="13">
      <t>コウチク</t>
    </rPh>
    <phoneticPr fontId="1"/>
  </si>
  <si>
    <t>PC1→AP1→L2SW1→L3SW1→WLC→L3SW1→L3SW2→サーバ1</t>
    <phoneticPr fontId="1"/>
  </si>
  <si>
    <t>モードAはWLCが停止</t>
    <rPh sb="9" eb="11">
      <t>テイシ</t>
    </rPh>
    <phoneticPr fontId="1"/>
  </si>
  <si>
    <t>モードAでテスト</t>
    <phoneticPr fontId="1"/>
  </si>
  <si>
    <t>PCがLANにつながらない</t>
    <phoneticPr fontId="1"/>
  </si>
  <si>
    <t>データ用通信はWLCを経由しないので影響はない</t>
    <rPh sb="3" eb="4">
      <t>ヨウ</t>
    </rPh>
    <rPh sb="4" eb="6">
      <t>ツウシン</t>
    </rPh>
    <rPh sb="11" eb="13">
      <t>ケイユ</t>
    </rPh>
    <rPh sb="18" eb="20">
      <t>エイキョウ</t>
    </rPh>
    <phoneticPr fontId="1"/>
  </si>
  <si>
    <t>PC再起動</t>
    <rPh sb="2" eb="5">
      <t>サイキドウ</t>
    </rPh>
    <phoneticPr fontId="1"/>
  </si>
  <si>
    <t>ローミング</t>
    <phoneticPr fontId="1"/>
  </si>
  <si>
    <t>WLCとAPの間にトンネルが構築されず通信が出来なくなるため</t>
    <rPh sb="7" eb="8">
      <t>アイダ</t>
    </rPh>
    <rPh sb="14" eb="16">
      <t>コウチク</t>
    </rPh>
    <rPh sb="19" eb="21">
      <t>ツウシン</t>
    </rPh>
    <rPh sb="22" eb="24">
      <t>デキ</t>
    </rPh>
    <phoneticPr fontId="1"/>
  </si>
  <si>
    <t>WLCの処理能力</t>
    <rPh sb="4" eb="8">
      <t>ショリノウリョク</t>
    </rPh>
    <phoneticPr fontId="1"/>
  </si>
  <si>
    <t>広域イーサネットの帯域</t>
    <rPh sb="0" eb="2">
      <t>コウイキ</t>
    </rPh>
    <rPh sb="9" eb="11">
      <t>タイイキ</t>
    </rPh>
    <phoneticPr fontId="1"/>
  </si>
  <si>
    <t>本社無線LABの津伸もBCを経由するため、広域イーサネット網の通信量が増加する</t>
    <rPh sb="0" eb="2">
      <t>ホンシャ</t>
    </rPh>
    <rPh sb="2" eb="4">
      <t>ムセン</t>
    </rPh>
    <rPh sb="8" eb="10">
      <t>ツシン</t>
    </rPh>
    <rPh sb="14" eb="16">
      <t>ケイユ</t>
    </rPh>
    <rPh sb="21" eb="23">
      <t>コウイキ</t>
    </rPh>
    <rPh sb="29" eb="30">
      <t>アミ</t>
    </rPh>
    <rPh sb="31" eb="34">
      <t>ツウシンリョウ</t>
    </rPh>
    <rPh sb="35" eb="37">
      <t>ゾウカ</t>
    </rPh>
    <phoneticPr fontId="1"/>
  </si>
  <si>
    <t>本社からDCへの通信がBCを経由しなくなる</t>
    <rPh sb="0" eb="2">
      <t>ホンシャ</t>
    </rPh>
    <rPh sb="8" eb="10">
      <t>ツウシン</t>
    </rPh>
    <rPh sb="14" eb="16">
      <t>ケイユ</t>
    </rPh>
    <phoneticPr fontId="1"/>
  </si>
  <si>
    <t>中継運送業者</t>
    <rPh sb="0" eb="2">
      <t>チュウケイ</t>
    </rPh>
    <rPh sb="2" eb="6">
      <t>ウンソウギョウシャ</t>
    </rPh>
    <phoneticPr fontId="1"/>
  </si>
  <si>
    <t>半管理システム</t>
    <rPh sb="0" eb="3">
      <t>ハンカンリ</t>
    </rPh>
    <phoneticPr fontId="1"/>
  </si>
  <si>
    <t>モバイルネットワーク</t>
    <phoneticPr fontId="1"/>
  </si>
  <si>
    <t>タブレットとモバイルはLTE回線</t>
    <rPh sb="14" eb="16">
      <t>カイセン</t>
    </rPh>
    <phoneticPr fontId="1"/>
  </si>
  <si>
    <t>タブレット構成</t>
    <rPh sb="5" eb="7">
      <t>コウセイ</t>
    </rPh>
    <phoneticPr fontId="1"/>
  </si>
  <si>
    <t>無線LANLTE経由</t>
    <rPh sb="0" eb="2">
      <t>ムセン</t>
    </rPh>
    <rPh sb="8" eb="10">
      <t>ケイユ</t>
    </rPh>
    <phoneticPr fontId="1"/>
  </si>
  <si>
    <t>導入予定のモバイルWiFI</t>
    <rPh sb="0" eb="4">
      <t>ドウニュウヨテイ</t>
    </rPh>
    <phoneticPr fontId="1"/>
  </si>
  <si>
    <t>定期的に送信するビーコン信号を停止する</t>
    <rPh sb="0" eb="3">
      <t>テイキテキ</t>
    </rPh>
    <rPh sb="4" eb="6">
      <t>ソウシン</t>
    </rPh>
    <rPh sb="12" eb="14">
      <t>シンゴウ</t>
    </rPh>
    <rPh sb="15" eb="17">
      <t>テイシ</t>
    </rPh>
    <phoneticPr fontId="1"/>
  </si>
  <si>
    <t>SSIDやMACアドレスは暗号化できないため、傍受される</t>
    <rPh sb="13" eb="16">
      <t>アンゴウカ</t>
    </rPh>
    <rPh sb="23" eb="25">
      <t>ボウジュ</t>
    </rPh>
    <phoneticPr fontId="1"/>
  </si>
  <si>
    <t>E</t>
    <phoneticPr fontId="1"/>
  </si>
  <si>
    <t>内部IPアドレスが使われているところはダメ</t>
    <rPh sb="0" eb="2">
      <t>ナイブ</t>
    </rPh>
    <rPh sb="9" eb="10">
      <t>ツカ</t>
    </rPh>
    <phoneticPr fontId="1"/>
  </si>
  <si>
    <t>AES</t>
    <phoneticPr fontId="1"/>
  </si>
  <si>
    <t>IEEE802.1Q</t>
    <phoneticPr fontId="1"/>
  </si>
  <si>
    <t>Simカード</t>
    <phoneticPr fontId="1"/>
  </si>
  <si>
    <t>デフォルトゲートウェイ</t>
    <phoneticPr fontId="1"/>
  </si>
  <si>
    <t>NAPT</t>
    <phoneticPr fontId="1"/>
  </si>
  <si>
    <t>APN</t>
    <phoneticPr fontId="1"/>
  </si>
  <si>
    <t>PSK</t>
    <phoneticPr fontId="1"/>
  </si>
  <si>
    <t>VPN接続の利用者IDを無効する</t>
    <rPh sb="3" eb="5">
      <t>セツゾク</t>
    </rPh>
    <rPh sb="6" eb="9">
      <t>リヨウシャ</t>
    </rPh>
    <rPh sb="12" eb="14">
      <t>ムコウ</t>
    </rPh>
    <phoneticPr fontId="1"/>
  </si>
  <si>
    <t>内部DNSサーバとプロキシサーバへの通信</t>
    <rPh sb="0" eb="2">
      <t>ナイブ</t>
    </rPh>
    <rPh sb="18" eb="20">
      <t>ツウシン</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</si>
  <si>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</si>
  <si>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</si>
  <si>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</si>
  <si>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</si>
  <si>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</si>
  <si>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</si>
  <si>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</si>
  <si>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</si>
  <si>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</si>
  <si>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</si>
  <si>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5</t>
    <phoneticPr fontId="1"/>
  </si>
  <si>
    <t>6</t>
    <phoneticPr fontId="1"/>
  </si>
  <si>
    <t>Yはネットワーク関連会社</t>
    <rPh sb="8" eb="10">
      <t>カンレン</t>
    </rPh>
    <rPh sb="10" eb="12">
      <t>カイシャ</t>
    </rPh>
    <phoneticPr fontId="1"/>
  </si>
  <si>
    <t>オフィスビルの2フロア</t>
    <phoneticPr fontId="1"/>
  </si>
  <si>
    <t>本社と営業所</t>
    <rPh sb="0" eb="2">
      <t>ホンシャ</t>
    </rPh>
    <rPh sb="3" eb="6">
      <t>エイギョウショ</t>
    </rPh>
    <phoneticPr fontId="1"/>
  </si>
  <si>
    <t>NPCにWiFIルータ</t>
    <phoneticPr fontId="1"/>
  </si>
  <si>
    <t>メール送受信</t>
    <rPh sb="3" eb="6">
      <t>ソウジュシン</t>
    </rPh>
    <phoneticPr fontId="1"/>
  </si>
  <si>
    <t>有線LAN</t>
    <rPh sb="0" eb="2">
      <t>ユウセン</t>
    </rPh>
    <phoneticPr fontId="1"/>
  </si>
  <si>
    <t>同一VLAN</t>
    <rPh sb="0" eb="2">
      <t>ドウイツ</t>
    </rPh>
    <phoneticPr fontId="1"/>
  </si>
  <si>
    <t>オフィスエリア</t>
    <phoneticPr fontId="1"/>
  </si>
  <si>
    <t>来訪者NPC</t>
    <rPh sb="0" eb="3">
      <t>ライホウシャ</t>
    </rPh>
    <phoneticPr fontId="1"/>
  </si>
  <si>
    <t>LTE回線</t>
    <rPh sb="3" eb="5">
      <t>カイセン</t>
    </rPh>
    <phoneticPr fontId="1"/>
  </si>
  <si>
    <t>応接室</t>
    <rPh sb="0" eb="3">
      <t>オウセツシツ</t>
    </rPh>
    <phoneticPr fontId="1"/>
  </si>
  <si>
    <t>wirelesss LAN</t>
    <phoneticPr fontId="1"/>
  </si>
  <si>
    <t>データ暗号化方式</t>
    <rPh sb="3" eb="6">
      <t>アンゴウカ</t>
    </rPh>
    <rPh sb="6" eb="8">
      <t>ホウシキ</t>
    </rPh>
    <phoneticPr fontId="1"/>
  </si>
  <si>
    <t>無線LAN技術</t>
    <rPh sb="0" eb="2">
      <t>ムセン</t>
    </rPh>
    <rPh sb="5" eb="7">
      <t>ギジュツ</t>
    </rPh>
    <phoneticPr fontId="1"/>
  </si>
  <si>
    <t>any</t>
    <phoneticPr fontId="1"/>
  </si>
  <si>
    <t>共通</t>
    <rPh sb="0" eb="2">
      <t>キョウツウ</t>
    </rPh>
    <phoneticPr fontId="1"/>
  </si>
  <si>
    <t>802.11i</t>
    <phoneticPr fontId="1"/>
  </si>
  <si>
    <t>ストリーム</t>
    <phoneticPr fontId="1"/>
  </si>
  <si>
    <t>同一</t>
    <rPh sb="0" eb="2">
      <t>ドウイツ</t>
    </rPh>
    <phoneticPr fontId="1"/>
  </si>
  <si>
    <t>IEEE802.1Xを利用する</t>
    <rPh sb="11" eb="13">
      <t>リヨウ</t>
    </rPh>
    <phoneticPr fontId="1"/>
  </si>
  <si>
    <t>EAP-TLSを利用する</t>
    <rPh sb="8" eb="10">
      <t>リヨウ</t>
    </rPh>
    <phoneticPr fontId="1"/>
  </si>
  <si>
    <t>フロア図をもとに設置検討</t>
    <rPh sb="3" eb="4">
      <t>ズ</t>
    </rPh>
    <rPh sb="8" eb="10">
      <t>セッチ</t>
    </rPh>
    <rPh sb="10" eb="12">
      <t>ケントウ</t>
    </rPh>
    <phoneticPr fontId="1"/>
  </si>
  <si>
    <t>NPCを優先LAN</t>
    <rPh sb="4" eb="6">
      <t>ユウセン</t>
    </rPh>
    <phoneticPr fontId="1"/>
  </si>
  <si>
    <t>MIMOで通信が可能</t>
    <rPh sb="5" eb="7">
      <t>ツウシン</t>
    </rPh>
    <rPh sb="8" eb="10">
      <t>カノウ</t>
    </rPh>
    <phoneticPr fontId="1"/>
  </si>
  <si>
    <t>8chボンディング</t>
    <phoneticPr fontId="1"/>
  </si>
  <si>
    <t>WLCで管理する</t>
    <rPh sb="4" eb="6">
      <t>カンリ</t>
    </rPh>
    <phoneticPr fontId="1"/>
  </si>
  <si>
    <t>有線LAN経由で複数のAP</t>
    <rPh sb="0" eb="2">
      <t>ユウセン</t>
    </rPh>
    <rPh sb="5" eb="7">
      <t>ケイユ</t>
    </rPh>
    <rPh sb="8" eb="10">
      <t>フクスウ</t>
    </rPh>
    <phoneticPr fontId="1"/>
  </si>
  <si>
    <t>APの負荷分散</t>
    <rPh sb="3" eb="7">
      <t>フカブンサン</t>
    </rPh>
    <phoneticPr fontId="1"/>
  </si>
  <si>
    <t>WLCは分散処理可能</t>
    <rPh sb="4" eb="8">
      <t>ブンサンショリ</t>
    </rPh>
    <rPh sb="8" eb="10">
      <t>カノウ</t>
    </rPh>
    <phoneticPr fontId="1"/>
  </si>
  <si>
    <t>APは電波の到達性を顧慮して天井</t>
    <rPh sb="3" eb="5">
      <t>デンパ</t>
    </rPh>
    <rPh sb="6" eb="9">
      <t>トウタツセイ</t>
    </rPh>
    <rPh sb="10" eb="12">
      <t>コリョ</t>
    </rPh>
    <rPh sb="14" eb="16">
      <t>テンジョウ</t>
    </rPh>
    <phoneticPr fontId="1"/>
  </si>
  <si>
    <t>CA機能</t>
    <rPh sb="2" eb="4">
      <t>キノウ</t>
    </rPh>
    <phoneticPr fontId="1"/>
  </si>
  <si>
    <t>サーバー証明書</t>
    <rPh sb="4" eb="7">
      <t>ショウメイショ</t>
    </rPh>
    <phoneticPr fontId="1"/>
  </si>
  <si>
    <t>クライアント証明書</t>
    <rPh sb="6" eb="9">
      <t>ショウメイショ</t>
    </rPh>
    <phoneticPr fontId="1"/>
  </si>
  <si>
    <t>導入するAP</t>
    <rPh sb="0" eb="2">
      <t>ドウニュウ</t>
    </rPh>
    <phoneticPr fontId="1"/>
  </si>
  <si>
    <t>PoE+</t>
    <phoneticPr fontId="1"/>
  </si>
  <si>
    <t>ディジタル証明書の配布方法</t>
    <rPh sb="5" eb="8">
      <t>ショウメイショ</t>
    </rPh>
    <rPh sb="9" eb="13">
      <t>ハイフホウホウ</t>
    </rPh>
    <phoneticPr fontId="1"/>
  </si>
  <si>
    <t>RADIUS</t>
    <phoneticPr fontId="1"/>
  </si>
  <si>
    <t>クライアント証明書を発行するCA</t>
    <rPh sb="6" eb="9">
      <t>ショウメイショ</t>
    </rPh>
    <rPh sb="10" eb="12">
      <t>ハッコウ</t>
    </rPh>
    <phoneticPr fontId="1"/>
  </si>
  <si>
    <t>クライアント証明書は直接インストール</t>
    <rPh sb="6" eb="9">
      <t>ショウメイショ</t>
    </rPh>
    <rPh sb="10" eb="12">
      <t>チョクセツ</t>
    </rPh>
    <phoneticPr fontId="1"/>
  </si>
  <si>
    <t>CAの自己署名証明書</t>
    <rPh sb="3" eb="5">
      <t>ジコ</t>
    </rPh>
    <rPh sb="5" eb="7">
      <t>ショメイ</t>
    </rPh>
    <rPh sb="7" eb="10">
      <t>ショウメイショ</t>
    </rPh>
    <phoneticPr fontId="1"/>
  </si>
  <si>
    <t>季節LANに無線LAN</t>
    <rPh sb="0" eb="2">
      <t>キセツ</t>
    </rPh>
    <rPh sb="6" eb="8">
      <t>ムセン</t>
    </rPh>
    <phoneticPr fontId="1"/>
  </si>
  <si>
    <t>LAN構成</t>
    <rPh sb="3" eb="5">
      <t>コウセイ</t>
    </rPh>
    <phoneticPr fontId="1"/>
  </si>
  <si>
    <t>DHCPサーバでNPCに付与</t>
    <rPh sb="12" eb="14">
      <t>フヨ</t>
    </rPh>
    <phoneticPr fontId="1"/>
  </si>
  <si>
    <t>NPC</t>
    <phoneticPr fontId="1"/>
  </si>
  <si>
    <t>ESSID</t>
    <phoneticPr fontId="1"/>
  </si>
  <si>
    <t>オフィスビルの２フロア</t>
    <phoneticPr fontId="1"/>
  </si>
  <si>
    <t>NPCとWi-Fiルータ</t>
    <phoneticPr fontId="1"/>
  </si>
  <si>
    <t>メールなどに利用されている</t>
    <rPh sb="6" eb="8">
      <t>リヨウ</t>
    </rPh>
    <phoneticPr fontId="1"/>
  </si>
  <si>
    <t>NPCは有線LANに接続して業務</t>
    <rPh sb="4" eb="6">
      <t>ユウセン</t>
    </rPh>
    <rPh sb="10" eb="12">
      <t>セツゾク</t>
    </rPh>
    <rPh sb="14" eb="16">
      <t>ギョウム</t>
    </rPh>
    <phoneticPr fontId="1"/>
  </si>
  <si>
    <t>ネットはプロキシ</t>
    <phoneticPr fontId="1"/>
  </si>
  <si>
    <t>同一LANに属する</t>
    <rPh sb="0" eb="2">
      <t>ドウイツ</t>
    </rPh>
    <rPh sb="6" eb="7">
      <t>ゾク</t>
    </rPh>
    <phoneticPr fontId="1"/>
  </si>
  <si>
    <t>接客エリアの不足</t>
    <rPh sb="0" eb="2">
      <t>セッキャク</t>
    </rPh>
    <rPh sb="6" eb="8">
      <t>フソク</t>
    </rPh>
    <phoneticPr fontId="1"/>
  </si>
  <si>
    <t>来訪者は携帯</t>
    <rPh sb="0" eb="3">
      <t>ライホウシャ</t>
    </rPh>
    <rPh sb="4" eb="6">
      <t>ケイタイ</t>
    </rPh>
    <phoneticPr fontId="1"/>
  </si>
  <si>
    <t>無線LAN技術の調査と選定</t>
    <rPh sb="0" eb="2">
      <t>ムセン</t>
    </rPh>
    <rPh sb="5" eb="7">
      <t>ギジュツ</t>
    </rPh>
    <rPh sb="8" eb="10">
      <t>チョウサ</t>
    </rPh>
    <rPh sb="11" eb="13">
      <t>センテイ</t>
    </rPh>
    <phoneticPr fontId="1"/>
  </si>
  <si>
    <t>802.1Q</t>
    <phoneticPr fontId="1"/>
  </si>
  <si>
    <t>サーバ</t>
    <phoneticPr fontId="1"/>
  </si>
  <si>
    <t>公開鍵</t>
    <rPh sb="0" eb="3">
      <t>コウカイカギ</t>
    </rPh>
    <phoneticPr fontId="1"/>
  </si>
  <si>
    <t>共有鍵</t>
    <rPh sb="0" eb="3">
      <t>キョウユウカギ</t>
    </rPh>
    <phoneticPr fontId="1"/>
  </si>
  <si>
    <t>番号</t>
    <rPh sb="0" eb="2">
      <t>バンゴウ</t>
    </rPh>
    <phoneticPr fontId="1"/>
  </si>
  <si>
    <t>もの</t>
    <phoneticPr fontId="1"/>
  </si>
  <si>
    <t>個数</t>
    <rPh sb="0" eb="2">
      <t>コスウ</t>
    </rPh>
    <phoneticPr fontId="1"/>
  </si>
  <si>
    <t>存在</t>
    <rPh sb="0" eb="2">
      <t>ソンザイ</t>
    </rPh>
    <phoneticPr fontId="1"/>
  </si>
  <si>
    <t>Tシャツ</t>
    <phoneticPr fontId="1"/>
  </si>
  <si>
    <t>ジャケット</t>
    <phoneticPr fontId="1"/>
  </si>
  <si>
    <t>ズボン</t>
    <phoneticPr fontId="1"/>
  </si>
  <si>
    <t>〇</t>
    <phoneticPr fontId="1"/>
  </si>
  <si>
    <t>着替えの服</t>
    <rPh sb="0" eb="2">
      <t>キガ</t>
    </rPh>
    <rPh sb="4" eb="5">
      <t>フク</t>
    </rPh>
    <phoneticPr fontId="1"/>
  </si>
  <si>
    <t>カウンタcをAESで暗号化した結果と暗号文ブロックe1をXORする</t>
    <rPh sb="10" eb="13">
      <t>アンゴウカ</t>
    </rPh>
    <rPh sb="15" eb="17">
      <t>ケッカ</t>
    </rPh>
    <rPh sb="18" eb="21">
      <t>アンゴウブン</t>
    </rPh>
    <phoneticPr fontId="1"/>
  </si>
  <si>
    <t>867M</t>
    <phoneticPr fontId="1"/>
  </si>
  <si>
    <t>80MHz, 2本</t>
    <rPh sb="8" eb="9">
      <t>ホン</t>
    </rPh>
    <phoneticPr fontId="1"/>
  </si>
  <si>
    <t>WLCに障害が起きても通信を継続することが出来る</t>
    <rPh sb="4" eb="6">
      <t>ショウガイ</t>
    </rPh>
    <rPh sb="7" eb="8">
      <t>オ</t>
    </rPh>
    <rPh sb="11" eb="13">
      <t>ツウシン</t>
    </rPh>
    <rPh sb="14" eb="16">
      <t>ケイゾク</t>
    </rPh>
    <rPh sb="21" eb="23">
      <t>デキ</t>
    </rPh>
    <phoneticPr fontId="1"/>
  </si>
  <si>
    <t>WLC付近の帯域を圧迫せずに通信することが出来る</t>
    <rPh sb="3" eb="5">
      <t>フキン</t>
    </rPh>
    <rPh sb="6" eb="8">
      <t>タイイキ</t>
    </rPh>
    <rPh sb="9" eb="11">
      <t>アッパク</t>
    </rPh>
    <rPh sb="14" eb="16">
      <t>ツウシン</t>
    </rPh>
    <rPh sb="21" eb="23">
      <t>デキ</t>
    </rPh>
    <phoneticPr fontId="1"/>
  </si>
  <si>
    <t>電波干渉により通信障害が発生する</t>
    <rPh sb="0" eb="2">
      <t>デンパ</t>
    </rPh>
    <rPh sb="2" eb="4">
      <t>カンショウ</t>
    </rPh>
    <rPh sb="7" eb="9">
      <t>ツウシン</t>
    </rPh>
    <rPh sb="9" eb="11">
      <t>ショウガイ</t>
    </rPh>
    <rPh sb="12" eb="14">
      <t>ハッセイ</t>
    </rPh>
    <phoneticPr fontId="1"/>
  </si>
  <si>
    <t>APの負荷分散を行うため</t>
    <rPh sb="3" eb="7">
      <t>フカブンサン</t>
    </rPh>
    <rPh sb="8" eb="9">
      <t>オコナ</t>
    </rPh>
    <phoneticPr fontId="1"/>
  </si>
  <si>
    <t>CAの自己証明書</t>
    <rPh sb="3" eb="5">
      <t>ジコ</t>
    </rPh>
    <rPh sb="5" eb="8">
      <t>ショウメイショ</t>
    </rPh>
    <phoneticPr fontId="1"/>
  </si>
  <si>
    <t>クライアントの秘密鍵</t>
    <rPh sb="7" eb="10">
      <t>ヒミツカギ</t>
    </rPh>
    <phoneticPr fontId="1"/>
  </si>
  <si>
    <t>DLにアクセスする方法を検討したい</t>
    <rPh sb="9" eb="11">
      <t>ホウホウ</t>
    </rPh>
    <rPh sb="12" eb="14">
      <t>ケントウ</t>
    </rPh>
    <phoneticPr fontId="1"/>
  </si>
  <si>
    <t>本来アクセスすべきでない人が証明書を入手することが出来るようになる</t>
    <rPh sb="0" eb="2">
      <t>ホンライ</t>
    </rPh>
    <rPh sb="12" eb="13">
      <t>ヒト</t>
    </rPh>
    <rPh sb="14" eb="17">
      <t>ショウメイショ</t>
    </rPh>
    <rPh sb="18" eb="20">
      <t>ニュウシュ</t>
    </rPh>
    <rPh sb="25" eb="27">
      <t>デキ</t>
    </rPh>
    <phoneticPr fontId="1"/>
  </si>
  <si>
    <t>無線LAN導入後に営業部に配属された営業員</t>
    <rPh sb="0" eb="2">
      <t>ムセン</t>
    </rPh>
    <rPh sb="5" eb="7">
      <t>ドウニュウ</t>
    </rPh>
    <rPh sb="7" eb="8">
      <t>アト</t>
    </rPh>
    <rPh sb="9" eb="12">
      <t>エイギョウブ</t>
    </rPh>
    <rPh sb="13" eb="15">
      <t>ハイゾク</t>
    </rPh>
    <rPh sb="18" eb="21">
      <t>エイギョウイン</t>
    </rPh>
    <phoneticPr fontId="1"/>
  </si>
  <si>
    <t>WLC</t>
    <phoneticPr fontId="1"/>
  </si>
  <si>
    <t>ルータ2への接続ポートだけにVLANを設定する</t>
    <rPh sb="6" eb="8">
      <t>セツゾク</t>
    </rPh>
    <rPh sb="19" eb="21">
      <t>セッテイ</t>
    </rPh>
    <phoneticPr fontId="1"/>
  </si>
  <si>
    <t>ハングオーバーできなくなる</t>
    <phoneticPr fontId="1"/>
  </si>
  <si>
    <t>NPCに配布したPMKと認証関連情報がWLCで保持されているため</t>
    <rPh sb="4" eb="6">
      <t>ハイフ</t>
    </rPh>
    <rPh sb="12" eb="14">
      <t>ニンショウ</t>
    </rPh>
    <rPh sb="14" eb="18">
      <t>カンレンジョウホウ</t>
    </rPh>
    <rPh sb="23" eb="25">
      <t>ホジ</t>
    </rPh>
    <phoneticPr fontId="1"/>
  </si>
  <si>
    <t>オフィスビル</t>
    <phoneticPr fontId="1"/>
  </si>
  <si>
    <t>複数営業所</t>
    <rPh sb="0" eb="2">
      <t>フクスウ</t>
    </rPh>
    <rPh sb="2" eb="5">
      <t>エイギョウショ</t>
    </rPh>
    <phoneticPr fontId="1"/>
  </si>
  <si>
    <t>本社営業部に営業委</t>
    <rPh sb="0" eb="2">
      <t>ホンシャ</t>
    </rPh>
    <rPh sb="2" eb="5">
      <t>エイギョウブ</t>
    </rPh>
    <rPh sb="6" eb="9">
      <t>エイギョウイ</t>
    </rPh>
    <phoneticPr fontId="1"/>
  </si>
  <si>
    <t>NPCとWiFIルータ</t>
    <phoneticPr fontId="1"/>
  </si>
  <si>
    <t>同一LANで運用</t>
    <rPh sb="0" eb="2">
      <t>ドウイツ</t>
    </rPh>
    <rPh sb="6" eb="8">
      <t>ウンヨウ</t>
    </rPh>
    <phoneticPr fontId="1"/>
  </si>
  <si>
    <t>LTE回線</t>
    <rPh sb="3" eb="5">
      <t>カイセン</t>
    </rPh>
    <phoneticPr fontId="1"/>
  </si>
  <si>
    <t>接客エリアの確保</t>
    <rPh sb="0" eb="2">
      <t>セッキャク</t>
    </rPh>
    <rPh sb="6" eb="8">
      <t>カクホ</t>
    </rPh>
    <phoneticPr fontId="1"/>
  </si>
  <si>
    <t>NPC→LTE回線でネット利用</t>
    <rPh sb="7" eb="9">
      <t>カイセン</t>
    </rPh>
    <rPh sb="13" eb="15">
      <t>リヨウ</t>
    </rPh>
    <phoneticPr fontId="1"/>
  </si>
  <si>
    <t>ルータを持たないのでネット</t>
    <rPh sb="4" eb="5">
      <t>モ</t>
    </rPh>
    <phoneticPr fontId="1"/>
  </si>
  <si>
    <t>オフィスエリアを縮小</t>
    <rPh sb="8" eb="10">
      <t>シュクショウ</t>
    </rPh>
    <phoneticPr fontId="1"/>
  </si>
  <si>
    <t>無線LANの設計と調査</t>
    <rPh sb="0" eb="2">
      <t>ムセン</t>
    </rPh>
    <rPh sb="6" eb="8">
      <t>セッケイ</t>
    </rPh>
    <rPh sb="9" eb="11">
      <t>チョウサ</t>
    </rPh>
    <phoneticPr fontId="1"/>
  </si>
  <si>
    <t>技術を調査</t>
    <rPh sb="0" eb="2">
      <t>ギジュツ</t>
    </rPh>
    <rPh sb="3" eb="5">
      <t>チョウサ</t>
    </rPh>
    <phoneticPr fontId="1"/>
  </si>
  <si>
    <t>any</t>
    <phoneticPr fontId="1"/>
  </si>
  <si>
    <t>SSID隠蔽</t>
    <rPh sb="4" eb="6">
      <t>インペイ</t>
    </rPh>
    <phoneticPr fontId="1"/>
  </si>
  <si>
    <t>アドレスフィルタリング</t>
    <phoneticPr fontId="1"/>
  </si>
  <si>
    <t>802.1X認証</t>
    <rPh sb="6" eb="8">
      <t>ニンショウ</t>
    </rPh>
    <phoneticPr fontId="1"/>
  </si>
  <si>
    <t>公開</t>
    <rPh sb="0" eb="2">
      <t>コウカイ</t>
    </rPh>
    <phoneticPr fontId="1"/>
  </si>
  <si>
    <t xml:space="preserve">    </t>
    <phoneticPr fontId="1"/>
  </si>
  <si>
    <t>ストリーム</t>
    <phoneticPr fontId="1"/>
  </si>
  <si>
    <t>同一</t>
    <rPh sb="0" eb="2">
      <t>ドウイツ</t>
    </rPh>
    <phoneticPr fontId="1"/>
  </si>
  <si>
    <t>認証サーバ</t>
    <rPh sb="0" eb="2">
      <t>ニンショウ</t>
    </rPh>
    <phoneticPr fontId="1"/>
  </si>
  <si>
    <t>秘密鍵</t>
    <rPh sb="0" eb="3">
      <t>ヒミツカギ</t>
    </rPh>
    <phoneticPr fontId="1"/>
  </si>
  <si>
    <t>鍵共有</t>
    <rPh sb="0" eb="1">
      <t>カギ</t>
    </rPh>
    <rPh sb="1" eb="3">
      <t>キョウユウ</t>
    </rPh>
    <phoneticPr fontId="1"/>
  </si>
  <si>
    <t>平文とのXORを算出した後に共通鍵により復号化する</t>
    <rPh sb="0" eb="2">
      <t>ヒラブン</t>
    </rPh>
    <rPh sb="8" eb="10">
      <t>サンシュツ</t>
    </rPh>
    <rPh sb="12" eb="13">
      <t>アト</t>
    </rPh>
    <rPh sb="14" eb="17">
      <t>キョウツウカギ</t>
    </rPh>
    <rPh sb="20" eb="23">
      <t>フクゴウカ</t>
    </rPh>
    <phoneticPr fontId="1"/>
  </si>
  <si>
    <t>80MHz、2本</t>
    <rPh sb="7" eb="8">
      <t>ホン</t>
    </rPh>
    <phoneticPr fontId="1"/>
  </si>
  <si>
    <t>WLCに障害があった場合でも、認証後であれば通信を継続することが出来る</t>
    <rPh sb="4" eb="6">
      <t>ショウガイ</t>
    </rPh>
    <rPh sb="10" eb="12">
      <t>バアイ</t>
    </rPh>
    <rPh sb="15" eb="17">
      <t>ニンショウ</t>
    </rPh>
    <rPh sb="17" eb="18">
      <t>アト</t>
    </rPh>
    <rPh sb="22" eb="24">
      <t>ツウシン</t>
    </rPh>
    <rPh sb="25" eb="27">
      <t>ケイゾク</t>
    </rPh>
    <rPh sb="32" eb="34">
      <t>デキ</t>
    </rPh>
    <phoneticPr fontId="1"/>
  </si>
  <si>
    <t>無線WLCまでの経路の帯域を消費せずに通信を行うことが出来る</t>
    <rPh sb="0" eb="2">
      <t>ムセン</t>
    </rPh>
    <rPh sb="8" eb="10">
      <t>ケイロ</t>
    </rPh>
    <rPh sb="11" eb="13">
      <t>タイイキ</t>
    </rPh>
    <rPh sb="14" eb="16">
      <t>ショウヒ</t>
    </rPh>
    <rPh sb="19" eb="21">
      <t>ツウシン</t>
    </rPh>
    <rPh sb="22" eb="23">
      <t>オコナ</t>
    </rPh>
    <rPh sb="27" eb="29">
      <t>デキ</t>
    </rPh>
    <phoneticPr fontId="1"/>
  </si>
  <si>
    <t>電波干渉による通信障害が発生する</t>
    <rPh sb="0" eb="4">
      <t>デンパカンショウ</t>
    </rPh>
    <rPh sb="7" eb="9">
      <t>ツウシン</t>
    </rPh>
    <rPh sb="9" eb="11">
      <t>ショウガイ</t>
    </rPh>
    <rPh sb="12" eb="14">
      <t>ハッセイ</t>
    </rPh>
    <phoneticPr fontId="1"/>
  </si>
  <si>
    <t>ハンドオーバ０をスムーズに実施できるようにするため</t>
    <rPh sb="13" eb="15">
      <t>ジッシ</t>
    </rPh>
    <phoneticPr fontId="1"/>
  </si>
  <si>
    <t>PoE+</t>
    <phoneticPr fontId="1"/>
  </si>
  <si>
    <t>証明書の配布方法</t>
    <rPh sb="0" eb="3">
      <t>ショウメイショ</t>
    </rPh>
    <rPh sb="4" eb="8">
      <t>ハイフホウホウ</t>
    </rPh>
    <phoneticPr fontId="1"/>
  </si>
  <si>
    <t>EAP-TLS</t>
    <phoneticPr fontId="1"/>
  </si>
  <si>
    <t>NPC</t>
    <phoneticPr fontId="1"/>
  </si>
  <si>
    <t>クライアントの秘密鍵</t>
    <rPh sb="7" eb="10">
      <t>ヒミツカギ</t>
    </rPh>
    <phoneticPr fontId="1"/>
  </si>
  <si>
    <t>CAの自己署名証明書</t>
    <rPh sb="3" eb="5">
      <t>ジコ</t>
    </rPh>
    <rPh sb="5" eb="7">
      <t>ショメイ</t>
    </rPh>
    <rPh sb="7" eb="10">
      <t>ショウメイショ</t>
    </rPh>
    <phoneticPr fontId="1"/>
  </si>
  <si>
    <t>DLサーバ</t>
    <phoneticPr fontId="1"/>
  </si>
  <si>
    <t>アクセスされる方法検討「APに設定しDLサーバを設置する</t>
    <rPh sb="7" eb="9">
      <t>ホウホウ</t>
    </rPh>
    <rPh sb="9" eb="11">
      <t>ケントウ</t>
    </rPh>
    <rPh sb="15" eb="17">
      <t>セッテイ</t>
    </rPh>
    <rPh sb="24" eb="26">
      <t>セッチ</t>
    </rPh>
    <phoneticPr fontId="1"/>
  </si>
  <si>
    <t>クライアント証明書の有効期限が切れた社員</t>
    <rPh sb="6" eb="9">
      <t>ショウメイショ</t>
    </rPh>
    <rPh sb="10" eb="14">
      <t>ユウコウキゲン</t>
    </rPh>
    <rPh sb="15" eb="16">
      <t>キ</t>
    </rPh>
    <rPh sb="18" eb="20">
      <t>シャイン</t>
    </rPh>
    <phoneticPr fontId="1"/>
  </si>
  <si>
    <t>ダウンロードサーバの認証情報が漏洩すると、来訪者もクライアント証明書をダウンロードすることができる</t>
    <rPh sb="10" eb="12">
      <t>ニンショウ</t>
    </rPh>
    <rPh sb="12" eb="14">
      <t>ジョウホウ</t>
    </rPh>
    <rPh sb="15" eb="17">
      <t>ロウエイ</t>
    </rPh>
    <rPh sb="21" eb="24">
      <t>ライホウシャ</t>
    </rPh>
    <rPh sb="31" eb="34">
      <t>ショウメイショ</t>
    </rPh>
    <phoneticPr fontId="1"/>
  </si>
  <si>
    <t>忘れには情シスが対応する</t>
    <rPh sb="0" eb="1">
      <t>ワス</t>
    </rPh>
    <rPh sb="4" eb="5">
      <t>ジョウ</t>
    </rPh>
    <rPh sb="8" eb="10">
      <t>タイオウ</t>
    </rPh>
    <phoneticPr fontId="1"/>
  </si>
  <si>
    <t>AP</t>
    <phoneticPr fontId="1"/>
  </si>
  <si>
    <t>SSID</t>
    <phoneticPr fontId="1"/>
  </si>
  <si>
    <t>PSK</t>
    <phoneticPr fontId="1"/>
  </si>
  <si>
    <t>イ</t>
    <phoneticPr fontId="1"/>
  </si>
  <si>
    <t>ルータ2への接続ポートのみにVLAN200のポートVLANを設定する。</t>
    <rPh sb="6" eb="8">
      <t>セツゾク</t>
    </rPh>
    <rPh sb="30" eb="32">
      <t>セッテイ</t>
    </rPh>
    <phoneticPr fontId="1"/>
  </si>
  <si>
    <t>ハンドオーバできなくいなる</t>
    <phoneticPr fontId="1"/>
  </si>
  <si>
    <t>ANPCｎＯＭＫとＷＬＣで保持されているから</t>
    <rPh sb="13" eb="15">
      <t>ホジ</t>
    </rPh>
    <phoneticPr fontId="1"/>
  </si>
  <si>
    <t>ＡＰ→Ｌ２ＳＷ５→Ｌ３ＳＷ→ＦＷ→Ｌ２ＳＷ１→ＰＲＳＶ→Ｌ２ＳＷ１→ＦＷ→ルータ1</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</si>
</sst>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0" fontId="0" fillId="0" borderId="0" xfId="0" applyAlignment="1">
      <alignment horizontal="left" wrapText="1"/>
    </xf>
    <xf numFmtId="49" fontId="0" fillId="0" borderId="0" xfId="0" applyNumberFormat="1" applyAlignment="1">
      <alignment horizontal="left" wrapText="1"/>
    </xf>
    <xf numFmtId="49" fontId="0" fillId="0" borderId="0" xfId="0" applyNumberFormat="1" applyAlignment="1">
      <alignment horizont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A2" sqref="A2:E5"/>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3DFC5-9F53-4462-B8C3-7C3B56B6694E}">
  <sheetPr codeName="Sheet4"/>
  <dimension ref="A1:P167"/>
  <sheetViews>
    <sheetView zoomScale="85" zoomScaleNormal="85" workbookViewId="0">
      <pane xSplit="1" ySplit="3" topLeftCell="B4" activePane="bottomRight" state="frozen"/>
      <selection pane="topRight" activeCell="B1" sqref="B1"/>
      <selection pane="bottomLeft" activeCell="A4" sqref="A4"/>
      <selection pane="bottomRight" activeCell="A3" activeCellId="2" sqref="A1:C1 A2:C2 A3:C3"/>
    </sheetView>
  </sheetViews>
  <sheetFormatPr defaultRowHeight="18.75"/>
  <cols>
    <col min="1" max="1" width="7.375" style="2" customWidth="1"/>
    <col min="2" max="2" width="8.5" style="2" customWidth="1"/>
    <col min="3" max="3" width="9" style="2"/>
    <col min="4" max="4" width="96.875" style="1" customWidth="1"/>
    <col min="5" max="5" width="9.75" customWidth="1"/>
  </cols>
  <sheetData>
    <row r="1" spans="1:16">
      <c r="A1" s="6" t="s">
        <v>0</v>
      </c>
      <c r="B1" s="6"/>
      <c r="C1" s="6"/>
      <c r="D1" s="1" t="s">
        <v>15</v>
      </c>
    </row>
    <row r="2" spans="1:16">
      <c r="A2" s="6" t="s">
        <v>2</v>
      </c>
      <c r="B2" s="6"/>
      <c r="C2" s="6"/>
      <c r="D2" s="3" t="s">
        <v>16</v>
      </c>
      <c r="F2">
        <f>SUM(F4:F1000)</f>
        <v>50</v>
      </c>
      <c r="G2">
        <f>SUM(G4:G1000)</f>
        <v>28</v>
      </c>
    </row>
    <row r="3" spans="1:16">
      <c r="A3" s="6" t="s">
        <v>1</v>
      </c>
      <c r="B3" s="6"/>
      <c r="C3" s="6"/>
      <c r="D3" s="1" t="s">
        <v>3</v>
      </c>
      <c r="E3" t="s">
        <v>6</v>
      </c>
      <c r="F3" t="s">
        <v>4</v>
      </c>
      <c r="G3" t="s">
        <v>5</v>
      </c>
    </row>
    <row r="4" spans="1:16">
      <c r="A4" s="2" t="s">
        <v>16</v>
      </c>
      <c r="B4" s="2" t="s">
        <v>16</v>
      </c>
      <c r="C4" s="2" t="s">
        <v>17</v>
      </c>
      <c r="D4" s="1">
        <v>802.3</v>
      </c>
      <c r="E4">
        <f>IF(D4&lt;&gt;"",LEN(D4),"")</f>
        <v>5</v>
      </c>
      <c r="F4">
        <v>2</v>
      </c>
      <c r="G4">
        <v>0</v>
      </c>
      <c r="J4" t="s">
        <v>26</v>
      </c>
      <c r="M4" t="s">
        <v>30</v>
      </c>
      <c r="P4" t="s">
        <v>36</v>
      </c>
    </row>
    <row r="5" spans="1:16">
      <c r="C5" s="2" t="s">
        <v>18</v>
      </c>
      <c r="D5" s="1" t="s">
        <v>22</v>
      </c>
      <c r="E5">
        <f t="shared" ref="E5:E68" si="0">IF(D5&lt;&gt;"",LEN(D5),"")</f>
        <v>3</v>
      </c>
      <c r="F5">
        <v>2</v>
      </c>
      <c r="G5">
        <v>0</v>
      </c>
      <c r="J5" t="s">
        <v>27</v>
      </c>
      <c r="M5" t="s">
        <v>31</v>
      </c>
      <c r="P5" t="s">
        <v>37</v>
      </c>
    </row>
    <row r="6" spans="1:16">
      <c r="C6" s="2" t="s">
        <v>19</v>
      </c>
      <c r="D6" s="1" t="s">
        <v>23</v>
      </c>
      <c r="E6">
        <f t="shared" si="0"/>
        <v>3</v>
      </c>
      <c r="F6">
        <v>2</v>
      </c>
      <c r="G6">
        <v>0</v>
      </c>
      <c r="J6" t="s">
        <v>28</v>
      </c>
      <c r="M6" t="s">
        <v>32</v>
      </c>
      <c r="P6" t="s">
        <v>38</v>
      </c>
    </row>
    <row r="7" spans="1:16">
      <c r="C7" s="2" t="s">
        <v>20</v>
      </c>
      <c r="D7" s="1" t="s">
        <v>24</v>
      </c>
      <c r="E7">
        <f t="shared" si="0"/>
        <v>4</v>
      </c>
      <c r="F7">
        <v>2</v>
      </c>
      <c r="G7">
        <v>2</v>
      </c>
      <c r="J7" t="s">
        <v>34</v>
      </c>
      <c r="M7" t="s">
        <v>33</v>
      </c>
    </row>
    <row r="8" spans="1:16">
      <c r="C8" s="2" t="s">
        <v>12</v>
      </c>
      <c r="D8" s="1" t="s">
        <v>25</v>
      </c>
      <c r="E8">
        <f t="shared" si="0"/>
        <v>11</v>
      </c>
      <c r="F8">
        <v>2</v>
      </c>
      <c r="G8">
        <v>0</v>
      </c>
    </row>
    <row r="9" spans="1:16">
      <c r="B9" s="2" t="s">
        <v>14</v>
      </c>
      <c r="D9" s="1" t="s">
        <v>29</v>
      </c>
      <c r="E9">
        <f t="shared" si="0"/>
        <v>14</v>
      </c>
      <c r="F9">
        <v>4</v>
      </c>
      <c r="G9">
        <v>4</v>
      </c>
    </row>
    <row r="10" spans="1:16">
      <c r="A10" s="2" t="s">
        <v>14</v>
      </c>
      <c r="B10" s="2" t="s">
        <v>16</v>
      </c>
      <c r="D10" s="1" t="s">
        <v>35</v>
      </c>
      <c r="E10">
        <f t="shared" si="0"/>
        <v>40</v>
      </c>
      <c r="F10">
        <v>4</v>
      </c>
      <c r="G10">
        <v>4</v>
      </c>
    </row>
    <row r="11" spans="1:16">
      <c r="B11" s="2" t="s">
        <v>14</v>
      </c>
      <c r="D11" s="1" t="s">
        <v>39</v>
      </c>
      <c r="E11">
        <f t="shared" si="0"/>
        <v>23</v>
      </c>
      <c r="F11">
        <v>4</v>
      </c>
      <c r="G11">
        <v>2</v>
      </c>
    </row>
    <row r="12" spans="1:16">
      <c r="B12" s="2" t="s">
        <v>21</v>
      </c>
      <c r="C12" s="2" t="s">
        <v>16</v>
      </c>
      <c r="D12" s="1" t="s">
        <v>40</v>
      </c>
      <c r="E12">
        <f t="shared" si="0"/>
        <v>5</v>
      </c>
      <c r="F12">
        <v>4</v>
      </c>
      <c r="G12">
        <v>0</v>
      </c>
    </row>
    <row r="13" spans="1:16">
      <c r="C13" s="2" t="s">
        <v>14</v>
      </c>
      <c r="D13" s="1" t="s">
        <v>41</v>
      </c>
      <c r="E13">
        <f t="shared" si="0"/>
        <v>5</v>
      </c>
      <c r="F13">
        <v>4</v>
      </c>
      <c r="G13">
        <v>0</v>
      </c>
    </row>
    <row r="14" spans="1:16">
      <c r="A14" s="2" t="s">
        <v>21</v>
      </c>
      <c r="B14" s="2" t="s">
        <v>16</v>
      </c>
      <c r="D14" s="1" t="s">
        <v>42</v>
      </c>
      <c r="E14">
        <f t="shared" si="0"/>
        <v>30</v>
      </c>
      <c r="F14">
        <v>4</v>
      </c>
      <c r="G14">
        <v>2</v>
      </c>
    </row>
    <row r="15" spans="1:16">
      <c r="B15" s="2" t="s">
        <v>14</v>
      </c>
      <c r="C15" s="2" t="s">
        <v>16</v>
      </c>
      <c r="D15" s="1" t="s">
        <v>43</v>
      </c>
      <c r="E15">
        <f t="shared" si="0"/>
        <v>8</v>
      </c>
      <c r="F15">
        <v>4</v>
      </c>
      <c r="G15">
        <v>2</v>
      </c>
    </row>
    <row r="16" spans="1:16">
      <c r="C16" s="2" t="s">
        <v>14</v>
      </c>
      <c r="D16" s="1" t="s">
        <v>44</v>
      </c>
      <c r="E16">
        <f t="shared" si="0"/>
        <v>11</v>
      </c>
      <c r="F16">
        <v>4</v>
      </c>
      <c r="G16">
        <v>4</v>
      </c>
    </row>
    <row r="17" spans="2:7">
      <c r="B17" s="2" t="s">
        <v>21</v>
      </c>
      <c r="D17" s="1" t="s">
        <v>45</v>
      </c>
      <c r="E17">
        <f t="shared" si="0"/>
        <v>39</v>
      </c>
      <c r="F17">
        <v>4</v>
      </c>
      <c r="G17">
        <v>4</v>
      </c>
    </row>
    <row r="18" spans="2:7">
      <c r="B18" s="2" t="s">
        <v>13</v>
      </c>
      <c r="D18" s="1" t="s">
        <v>46</v>
      </c>
      <c r="E18">
        <f t="shared" si="0"/>
        <v>21</v>
      </c>
      <c r="F18">
        <v>4</v>
      </c>
      <c r="G18">
        <v>4</v>
      </c>
    </row>
    <row r="19" spans="2:7">
      <c r="E19" t="str">
        <f t="shared" si="0"/>
        <v/>
      </c>
    </row>
    <row r="20" spans="2:7">
      <c r="E20" t="str">
        <f t="shared" si="0"/>
        <v/>
      </c>
    </row>
    <row r="21" spans="2:7">
      <c r="E21" t="str">
        <f t="shared" si="0"/>
        <v/>
      </c>
    </row>
    <row r="22" spans="2:7">
      <c r="E22" t="str">
        <f t="shared" si="0"/>
        <v/>
      </c>
    </row>
    <row r="23" spans="2:7">
      <c r="E23" t="str">
        <f t="shared" si="0"/>
        <v/>
      </c>
    </row>
    <row r="24" spans="2:7">
      <c r="E24" t="str">
        <f t="shared" si="0"/>
        <v/>
      </c>
    </row>
    <row r="25" spans="2:7">
      <c r="E25" t="str">
        <f t="shared" si="0"/>
        <v/>
      </c>
    </row>
    <row r="26" spans="2:7">
      <c r="E26" t="str">
        <f t="shared" si="0"/>
        <v/>
      </c>
    </row>
    <row r="27" spans="2:7">
      <c r="E27" t="str">
        <f t="shared" si="0"/>
        <v/>
      </c>
    </row>
    <row r="28" spans="2:7">
      <c r="E28" t="str">
        <f t="shared" si="0"/>
        <v/>
      </c>
    </row>
    <row r="29" spans="2:7">
      <c r="E29" t="str">
        <f t="shared" si="0"/>
        <v/>
      </c>
    </row>
    <row r="30" spans="2:7">
      <c r="E30" t="str">
        <f t="shared" si="0"/>
        <v/>
      </c>
    </row>
    <row r="31" spans="2:7">
      <c r="E31" t="str">
        <f t="shared" si="0"/>
        <v/>
      </c>
    </row>
    <row r="32" spans="2: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3:C3"/>
    <mergeCell ref="A2:C2"/>
    <mergeCell ref="A1:C1"/>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72F2-C33F-42B2-81D3-9044BD3100BB}">
  <sheetPr codeName="Sheet5"/>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J11" sqref="J11"/>
    </sheetView>
  </sheetViews>
  <sheetFormatPr defaultRowHeight="18.75"/>
  <cols>
    <col min="1" max="1" width="7.375" style="2" customWidth="1"/>
    <col min="2" max="2" width="8.5" style="2" customWidth="1"/>
    <col min="3" max="3" width="9" style="2"/>
    <col min="4" max="4" width="96.875" style="1" customWidth="1"/>
    <col min="5" max="5" width="9.75" customWidth="1"/>
  </cols>
  <sheetData>
    <row r="1" spans="1:11">
      <c r="A1" s="6" t="s">
        <v>0</v>
      </c>
      <c r="B1" s="6"/>
      <c r="C1" s="6"/>
      <c r="D1" s="1" t="s">
        <v>15</v>
      </c>
    </row>
    <row r="2" spans="1:11">
      <c r="A2" s="6" t="s">
        <v>2</v>
      </c>
      <c r="B2" s="6"/>
      <c r="C2" s="6"/>
      <c r="D2" s="3" t="s">
        <v>14</v>
      </c>
      <c r="F2">
        <f>SUM(F4:F1000)</f>
        <v>50</v>
      </c>
      <c r="G2">
        <f>SUM(G4:G1000)</f>
        <v>30</v>
      </c>
    </row>
    <row r="3" spans="1:11">
      <c r="A3" s="6" t="s">
        <v>1</v>
      </c>
      <c r="B3" s="6"/>
      <c r="C3" s="6"/>
      <c r="D3" s="1" t="s">
        <v>3</v>
      </c>
      <c r="E3" t="s">
        <v>6</v>
      </c>
      <c r="F3" t="s">
        <v>4</v>
      </c>
      <c r="G3" t="s">
        <v>5</v>
      </c>
    </row>
    <row r="4" spans="1:11">
      <c r="A4" s="2" t="s">
        <v>16</v>
      </c>
      <c r="C4" s="2" t="s">
        <v>17</v>
      </c>
      <c r="D4" s="1" t="s">
        <v>58</v>
      </c>
      <c r="E4">
        <f>IF(D4&lt;&gt;"",LEN(D4),"")</f>
        <v>3</v>
      </c>
      <c r="F4">
        <v>2</v>
      </c>
      <c r="G4">
        <v>2</v>
      </c>
      <c r="J4" t="s">
        <v>64</v>
      </c>
      <c r="K4" t="s">
        <v>64</v>
      </c>
    </row>
    <row r="5" spans="1:11">
      <c r="C5" s="2" t="s">
        <v>18</v>
      </c>
      <c r="D5" s="1" t="s">
        <v>59</v>
      </c>
      <c r="E5">
        <f t="shared" ref="E5:E68" si="0">IF(D5&lt;&gt;"",LEN(D5),"")</f>
        <v>10</v>
      </c>
      <c r="F5">
        <v>2</v>
      </c>
      <c r="G5">
        <v>0</v>
      </c>
      <c r="J5" t="s">
        <v>63</v>
      </c>
      <c r="K5" t="s">
        <v>47</v>
      </c>
    </row>
    <row r="6" spans="1:11">
      <c r="C6" s="2" t="s">
        <v>19</v>
      </c>
      <c r="D6" s="1" t="s">
        <v>60</v>
      </c>
      <c r="E6">
        <f t="shared" si="0"/>
        <v>6</v>
      </c>
      <c r="F6">
        <v>2</v>
      </c>
      <c r="G6">
        <v>2</v>
      </c>
      <c r="J6" t="s">
        <v>63</v>
      </c>
      <c r="K6" t="s">
        <v>48</v>
      </c>
    </row>
    <row r="7" spans="1:11">
      <c r="C7" s="2" t="s">
        <v>20</v>
      </c>
      <c r="D7" s="1" t="s">
        <v>61</v>
      </c>
      <c r="E7">
        <f t="shared" si="0"/>
        <v>11</v>
      </c>
      <c r="F7">
        <v>2</v>
      </c>
      <c r="G7">
        <v>0</v>
      </c>
      <c r="J7" t="s">
        <v>63</v>
      </c>
      <c r="K7" t="s">
        <v>49</v>
      </c>
    </row>
    <row r="8" spans="1:11">
      <c r="C8" s="2" t="s">
        <v>12</v>
      </c>
      <c r="D8" s="1" t="s">
        <v>62</v>
      </c>
      <c r="E8">
        <f t="shared" si="0"/>
        <v>4</v>
      </c>
      <c r="F8">
        <v>2</v>
      </c>
      <c r="G8">
        <v>2</v>
      </c>
      <c r="K8" t="s">
        <v>50</v>
      </c>
    </row>
    <row r="9" spans="1:11">
      <c r="A9" s="2" t="s">
        <v>14</v>
      </c>
      <c r="B9" s="2" t="s">
        <v>16</v>
      </c>
      <c r="D9" s="1" t="s">
        <v>54</v>
      </c>
      <c r="E9">
        <f t="shared" si="0"/>
        <v>19</v>
      </c>
      <c r="F9">
        <v>8</v>
      </c>
      <c r="G9">
        <v>8</v>
      </c>
      <c r="K9" t="s">
        <v>51</v>
      </c>
    </row>
    <row r="10" spans="1:11">
      <c r="B10" s="2" t="s">
        <v>14</v>
      </c>
      <c r="D10" s="1" t="s">
        <v>55</v>
      </c>
      <c r="E10">
        <f t="shared" si="0"/>
        <v>28</v>
      </c>
      <c r="F10">
        <v>8</v>
      </c>
      <c r="G10">
        <v>8</v>
      </c>
      <c r="K10" t="s">
        <v>52</v>
      </c>
    </row>
    <row r="11" spans="1:11">
      <c r="B11" s="2" t="s">
        <v>21</v>
      </c>
      <c r="D11" s="1" t="s">
        <v>56</v>
      </c>
      <c r="E11">
        <f t="shared" si="0"/>
        <v>1</v>
      </c>
      <c r="F11">
        <v>8</v>
      </c>
      <c r="G11">
        <v>0</v>
      </c>
      <c r="K11" t="s">
        <v>53</v>
      </c>
    </row>
    <row r="12" spans="1:11">
      <c r="A12" s="2" t="s">
        <v>21</v>
      </c>
      <c r="B12" s="2" t="s">
        <v>16</v>
      </c>
      <c r="D12" s="1" t="s">
        <v>65</v>
      </c>
      <c r="E12">
        <f t="shared" si="0"/>
        <v>16</v>
      </c>
      <c r="F12">
        <v>8</v>
      </c>
      <c r="G12">
        <v>8</v>
      </c>
      <c r="K12" t="s">
        <v>57</v>
      </c>
    </row>
    <row r="13" spans="1:11">
      <c r="B13" s="2" t="s">
        <v>14</v>
      </c>
      <c r="D13" s="1" t="s">
        <v>66</v>
      </c>
      <c r="E13">
        <f t="shared" si="0"/>
        <v>20</v>
      </c>
      <c r="F13">
        <v>8</v>
      </c>
      <c r="G13">
        <v>0</v>
      </c>
    </row>
    <row r="14" spans="1:11">
      <c r="E14" t="str">
        <f t="shared" si="0"/>
        <v/>
      </c>
    </row>
    <row r="15" spans="1:11">
      <c r="E15" t="str">
        <f t="shared" si="0"/>
        <v/>
      </c>
    </row>
    <row r="16" spans="1:11">
      <c r="E16" t="str">
        <f t="shared" si="0"/>
        <v/>
      </c>
    </row>
    <row r="17" spans="5:5">
      <c r="E17" t="str">
        <f t="shared" si="0"/>
        <v/>
      </c>
    </row>
    <row r="18" spans="5:5">
      <c r="E18" t="str">
        <f t="shared" si="0"/>
        <v/>
      </c>
    </row>
    <row r="19" spans="5:5">
      <c r="E19" t="str">
        <f t="shared" si="0"/>
        <v/>
      </c>
    </row>
    <row r="20" spans="5:5">
      <c r="E20" t="str">
        <f t="shared" si="0"/>
        <v/>
      </c>
    </row>
    <row r="21" spans="5:5">
      <c r="E21" t="str">
        <f t="shared" si="0"/>
        <v/>
      </c>
    </row>
    <row r="22" spans="5:5">
      <c r="E22" t="str">
        <f t="shared" si="0"/>
        <v/>
      </c>
    </row>
    <row r="23" spans="5:5">
      <c r="E23" t="str">
        <f t="shared" si="0"/>
        <v/>
      </c>
    </row>
    <row r="24" spans="5:5">
      <c r="E24" t="str">
        <f t="shared" si="0"/>
        <v/>
      </c>
    </row>
    <row r="25" spans="5:5">
      <c r="E25" t="str">
        <f t="shared" si="0"/>
        <v/>
      </c>
    </row>
    <row r="26" spans="5:5">
      <c r="E26" t="str">
        <f t="shared" si="0"/>
        <v/>
      </c>
    </row>
    <row r="27" spans="5:5">
      <c r="E27" t="str">
        <f t="shared" si="0"/>
        <v/>
      </c>
    </row>
    <row r="28" spans="5:5">
      <c r="E28" t="str">
        <f t="shared" si="0"/>
        <v/>
      </c>
    </row>
    <row r="29" spans="5:5">
      <c r="E29" t="str">
        <f t="shared" si="0"/>
        <v/>
      </c>
    </row>
    <row r="30" spans="5:5">
      <c r="E30" t="str">
        <f t="shared" si="0"/>
        <v/>
      </c>
    </row>
    <row r="31" spans="5:5">
      <c r="E31" t="str">
        <f t="shared" si="0"/>
        <v/>
      </c>
    </row>
    <row r="32" spans="5: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A806A-EDB2-4CCE-9AC2-E8E46641D885}">
  <sheetPr codeName="Sheet7"/>
  <dimension ref="A1:O167"/>
  <sheetViews>
    <sheetView zoomScale="85" zoomScaleNormal="85" workbookViewId="0">
      <pane xSplit="1" ySplit="3" topLeftCell="B13" activePane="bottomRight" state="frozen"/>
      <selection pane="topRight" activeCell="B1" sqref="B1"/>
      <selection pane="bottomLeft" activeCell="A4" sqref="A4"/>
      <selection pane="bottomRight" activeCell="G29" sqref="G29"/>
    </sheetView>
  </sheetViews>
  <sheetFormatPr defaultRowHeight="18.75"/>
  <cols>
    <col min="1" max="3" width="5.625" style="2" customWidth="1"/>
    <col min="4" max="4" width="63.75" style="1" customWidth="1"/>
    <col min="5" max="5" width="9.75" customWidth="1"/>
  </cols>
  <sheetData>
    <row r="1" spans="1:15">
      <c r="A1" s="6" t="s">
        <v>0</v>
      </c>
      <c r="B1" s="6"/>
      <c r="C1" s="6"/>
      <c r="D1" s="1" t="s">
        <v>15</v>
      </c>
    </row>
    <row r="2" spans="1:15">
      <c r="A2" s="6" t="s">
        <v>2</v>
      </c>
      <c r="B2" s="6"/>
      <c r="C2" s="6"/>
      <c r="D2" s="3" t="s">
        <v>21</v>
      </c>
      <c r="F2">
        <f>SUM(F4:F1000)</f>
        <v>100</v>
      </c>
      <c r="G2">
        <f>SUM(G4:G1000)</f>
        <v>66</v>
      </c>
    </row>
    <row r="3" spans="1:15">
      <c r="A3" s="6" t="s">
        <v>1</v>
      </c>
      <c r="B3" s="6"/>
      <c r="C3" s="6"/>
      <c r="D3" s="1" t="s">
        <v>3</v>
      </c>
      <c r="E3" t="s">
        <v>6</v>
      </c>
      <c r="F3" t="s">
        <v>4</v>
      </c>
      <c r="G3" t="s">
        <v>5</v>
      </c>
    </row>
    <row r="4" spans="1:15">
      <c r="A4" s="2" t="s">
        <v>16</v>
      </c>
      <c r="C4" s="2" t="s">
        <v>67</v>
      </c>
      <c r="D4" s="1">
        <v>2.4</v>
      </c>
      <c r="E4">
        <f>IF(D4&lt;&gt;"",LEN(D4),"")</f>
        <v>3</v>
      </c>
      <c r="F4">
        <v>2</v>
      </c>
      <c r="G4">
        <v>2</v>
      </c>
      <c r="I4" t="s">
        <v>79</v>
      </c>
      <c r="K4" t="s">
        <v>84</v>
      </c>
      <c r="M4" t="s">
        <v>89</v>
      </c>
      <c r="O4" t="s">
        <v>124</v>
      </c>
    </row>
    <row r="5" spans="1:15">
      <c r="C5" s="2" t="s">
        <v>68</v>
      </c>
      <c r="D5" s="1">
        <v>5</v>
      </c>
      <c r="E5">
        <f t="shared" ref="E5:E68" si="0">IF(D5&lt;&gt;"",LEN(D5),"")</f>
        <v>1</v>
      </c>
      <c r="F5">
        <v>2</v>
      </c>
      <c r="G5">
        <v>2</v>
      </c>
      <c r="I5" t="s">
        <v>80</v>
      </c>
      <c r="K5" t="s">
        <v>85</v>
      </c>
      <c r="M5" t="s">
        <v>90</v>
      </c>
      <c r="O5" t="s">
        <v>125</v>
      </c>
    </row>
    <row r="6" spans="1:15">
      <c r="C6" s="2" t="s">
        <v>69</v>
      </c>
      <c r="D6" s="1" t="s">
        <v>93</v>
      </c>
      <c r="E6">
        <f t="shared" si="0"/>
        <v>3</v>
      </c>
      <c r="F6">
        <v>2</v>
      </c>
      <c r="G6">
        <v>0</v>
      </c>
      <c r="I6" t="s">
        <v>81</v>
      </c>
      <c r="K6" t="s">
        <v>86</v>
      </c>
      <c r="M6" t="s">
        <v>91</v>
      </c>
      <c r="O6" t="s">
        <v>126</v>
      </c>
    </row>
    <row r="7" spans="1:15">
      <c r="C7" s="2" t="s">
        <v>70</v>
      </c>
      <c r="D7" s="1" t="s">
        <v>94</v>
      </c>
      <c r="E7">
        <f t="shared" si="0"/>
        <v>2</v>
      </c>
      <c r="F7">
        <v>2</v>
      </c>
      <c r="G7">
        <v>2</v>
      </c>
      <c r="I7" t="s">
        <v>82</v>
      </c>
      <c r="K7" t="s">
        <v>87</v>
      </c>
      <c r="M7" t="s">
        <v>92</v>
      </c>
      <c r="O7" t="s">
        <v>127</v>
      </c>
    </row>
    <row r="8" spans="1:15">
      <c r="C8" s="2" t="s">
        <v>71</v>
      </c>
      <c r="D8" s="1" t="s">
        <v>133</v>
      </c>
      <c r="E8">
        <f t="shared" si="0"/>
        <v>6</v>
      </c>
      <c r="F8">
        <v>2</v>
      </c>
      <c r="G8">
        <v>0</v>
      </c>
      <c r="H8" t="s">
        <v>95</v>
      </c>
      <c r="I8" t="s">
        <v>83</v>
      </c>
      <c r="K8" t="s">
        <v>88</v>
      </c>
      <c r="M8" t="s">
        <v>98</v>
      </c>
      <c r="O8" t="s">
        <v>128</v>
      </c>
    </row>
    <row r="9" spans="1:15">
      <c r="A9" s="2" t="s">
        <v>14</v>
      </c>
      <c r="B9" s="2" t="s">
        <v>16</v>
      </c>
      <c r="C9" s="2" t="s">
        <v>72</v>
      </c>
      <c r="D9" s="1" t="s">
        <v>96</v>
      </c>
      <c r="E9">
        <f t="shared" si="0"/>
        <v>5</v>
      </c>
      <c r="F9">
        <v>2</v>
      </c>
      <c r="G9">
        <v>2</v>
      </c>
      <c r="I9" t="s">
        <v>100</v>
      </c>
      <c r="K9" t="s">
        <v>104</v>
      </c>
      <c r="M9" t="s">
        <v>99</v>
      </c>
      <c r="O9" t="s">
        <v>129</v>
      </c>
    </row>
    <row r="10" spans="1:15">
      <c r="C10" s="2" t="s">
        <v>73</v>
      </c>
      <c r="D10" s="1" t="s">
        <v>97</v>
      </c>
      <c r="E10">
        <f t="shared" si="0"/>
        <v>2</v>
      </c>
      <c r="F10">
        <v>2</v>
      </c>
      <c r="G10">
        <v>2</v>
      </c>
      <c r="I10" t="s">
        <v>101</v>
      </c>
      <c r="K10" t="s">
        <v>105</v>
      </c>
      <c r="M10" t="s">
        <v>108</v>
      </c>
    </row>
    <row r="11" spans="1:15">
      <c r="C11" s="2" t="s">
        <v>74</v>
      </c>
      <c r="D11" s="1" t="s">
        <v>134</v>
      </c>
      <c r="E11">
        <f t="shared" si="0"/>
        <v>3</v>
      </c>
      <c r="F11">
        <v>2</v>
      </c>
      <c r="G11">
        <v>0</v>
      </c>
      <c r="I11" t="s">
        <v>102</v>
      </c>
      <c r="K11" t="s">
        <v>106</v>
      </c>
      <c r="M11" t="s">
        <v>109</v>
      </c>
      <c r="O11" t="s">
        <v>130</v>
      </c>
    </row>
    <row r="12" spans="1:15">
      <c r="C12" s="2" t="s">
        <v>75</v>
      </c>
      <c r="D12" s="1" t="s">
        <v>135</v>
      </c>
      <c r="E12">
        <f t="shared" si="0"/>
        <v>3</v>
      </c>
      <c r="F12">
        <v>2</v>
      </c>
      <c r="G12">
        <v>0</v>
      </c>
      <c r="I12" t="s">
        <v>103</v>
      </c>
      <c r="K12" t="s">
        <v>107</v>
      </c>
      <c r="M12" t="s">
        <v>110</v>
      </c>
      <c r="O12" t="s">
        <v>131</v>
      </c>
    </row>
    <row r="13" spans="1:15">
      <c r="C13" s="2" t="s">
        <v>76</v>
      </c>
      <c r="D13" s="1" t="s">
        <v>136</v>
      </c>
      <c r="E13">
        <f t="shared" si="0"/>
        <v>3</v>
      </c>
      <c r="F13">
        <v>2</v>
      </c>
      <c r="G13">
        <v>0</v>
      </c>
      <c r="I13" t="s">
        <v>112</v>
      </c>
      <c r="K13" t="s">
        <v>117</v>
      </c>
      <c r="M13" t="s">
        <v>111</v>
      </c>
      <c r="O13" t="s">
        <v>132</v>
      </c>
    </row>
    <row r="14" spans="1:15">
      <c r="B14" s="2" t="s">
        <v>14</v>
      </c>
      <c r="D14" s="1" t="s">
        <v>146</v>
      </c>
      <c r="E14">
        <f t="shared" si="0"/>
        <v>33</v>
      </c>
      <c r="F14">
        <v>4</v>
      </c>
      <c r="G14">
        <v>4</v>
      </c>
      <c r="I14" t="s">
        <v>114</v>
      </c>
      <c r="K14" t="s">
        <v>119</v>
      </c>
      <c r="M14" t="s">
        <v>147</v>
      </c>
    </row>
    <row r="15" spans="1:15">
      <c r="A15" s="2" t="s">
        <v>21</v>
      </c>
      <c r="B15" s="2" t="s">
        <v>16</v>
      </c>
      <c r="D15" s="1" t="s">
        <v>148</v>
      </c>
      <c r="E15">
        <f t="shared" si="0"/>
        <v>9</v>
      </c>
      <c r="F15">
        <v>4</v>
      </c>
      <c r="G15">
        <v>4</v>
      </c>
      <c r="I15" t="s">
        <v>115</v>
      </c>
      <c r="K15" t="s">
        <v>120</v>
      </c>
      <c r="M15">
        <f>867/160</f>
        <v>5.4187500000000002</v>
      </c>
    </row>
    <row r="16" spans="1:15">
      <c r="B16" s="2" t="s">
        <v>14</v>
      </c>
      <c r="C16" s="2" t="s">
        <v>16</v>
      </c>
      <c r="D16" s="1" t="s">
        <v>149</v>
      </c>
      <c r="E16">
        <f t="shared" si="0"/>
        <v>24</v>
      </c>
      <c r="F16">
        <v>3</v>
      </c>
      <c r="G16">
        <v>3</v>
      </c>
      <c r="I16" t="s">
        <v>116</v>
      </c>
      <c r="K16" t="s">
        <v>121</v>
      </c>
    </row>
    <row r="17" spans="1:9">
      <c r="C17" s="2" t="s">
        <v>14</v>
      </c>
      <c r="D17" s="1" t="s">
        <v>150</v>
      </c>
      <c r="E17">
        <f t="shared" si="0"/>
        <v>24</v>
      </c>
      <c r="F17">
        <v>3</v>
      </c>
      <c r="G17">
        <v>3</v>
      </c>
      <c r="I17" t="s">
        <v>155</v>
      </c>
    </row>
    <row r="18" spans="1:9">
      <c r="B18" s="2" t="s">
        <v>21</v>
      </c>
      <c r="D18" s="1" t="s">
        <v>151</v>
      </c>
      <c r="E18">
        <f t="shared" si="0"/>
        <v>16</v>
      </c>
      <c r="F18">
        <v>4</v>
      </c>
      <c r="G18">
        <v>4</v>
      </c>
    </row>
    <row r="19" spans="1:9">
      <c r="B19" s="2" t="s">
        <v>13</v>
      </c>
      <c r="C19" s="2" t="s">
        <v>16</v>
      </c>
      <c r="D19" s="1">
        <v>4</v>
      </c>
      <c r="E19">
        <f t="shared" si="0"/>
        <v>1</v>
      </c>
      <c r="F19">
        <v>3</v>
      </c>
      <c r="G19">
        <v>3</v>
      </c>
    </row>
    <row r="20" spans="1:9">
      <c r="C20" s="2" t="s">
        <v>14</v>
      </c>
      <c r="D20" s="1" t="s">
        <v>152</v>
      </c>
      <c r="E20">
        <f t="shared" si="0"/>
        <v>12</v>
      </c>
      <c r="F20">
        <v>3</v>
      </c>
      <c r="G20">
        <v>3</v>
      </c>
    </row>
    <row r="21" spans="1:9">
      <c r="B21" s="2" t="s">
        <v>77</v>
      </c>
      <c r="C21" s="2" t="s">
        <v>16</v>
      </c>
      <c r="D21" s="1" t="s">
        <v>113</v>
      </c>
      <c r="E21">
        <f t="shared" si="0"/>
        <v>4</v>
      </c>
      <c r="F21">
        <v>3</v>
      </c>
      <c r="G21">
        <v>3</v>
      </c>
    </row>
    <row r="22" spans="1:9">
      <c r="C22" s="2" t="s">
        <v>14</v>
      </c>
      <c r="D22" s="1">
        <f>12*18</f>
        <v>216</v>
      </c>
      <c r="E22">
        <f t="shared" si="0"/>
        <v>3</v>
      </c>
      <c r="F22">
        <v>3</v>
      </c>
      <c r="G22">
        <v>3</v>
      </c>
    </row>
    <row r="23" spans="1:9">
      <c r="A23" s="2" t="s">
        <v>13</v>
      </c>
      <c r="B23" s="2" t="s">
        <v>16</v>
      </c>
      <c r="C23" s="2" t="s">
        <v>16</v>
      </c>
      <c r="D23" s="1" t="s">
        <v>153</v>
      </c>
      <c r="E23">
        <f t="shared" si="0"/>
        <v>8</v>
      </c>
      <c r="F23">
        <v>3</v>
      </c>
      <c r="G23">
        <v>3</v>
      </c>
      <c r="I23" t="s">
        <v>118</v>
      </c>
    </row>
    <row r="24" spans="1:9">
      <c r="C24" s="2" t="s">
        <v>14</v>
      </c>
      <c r="D24" s="1" t="s">
        <v>154</v>
      </c>
      <c r="E24">
        <f t="shared" si="0"/>
        <v>10</v>
      </c>
      <c r="F24">
        <v>3</v>
      </c>
      <c r="G24">
        <v>3</v>
      </c>
    </row>
    <row r="25" spans="1:9">
      <c r="B25" s="2" t="s">
        <v>14</v>
      </c>
      <c r="D25" s="1" t="s">
        <v>156</v>
      </c>
      <c r="E25">
        <f t="shared" si="0"/>
        <v>33</v>
      </c>
      <c r="F25">
        <v>4</v>
      </c>
      <c r="G25">
        <v>4</v>
      </c>
    </row>
    <row r="26" spans="1:9">
      <c r="B26" s="2" t="s">
        <v>21</v>
      </c>
      <c r="D26" s="1" t="s">
        <v>157</v>
      </c>
      <c r="E26">
        <f t="shared" si="0"/>
        <v>21</v>
      </c>
      <c r="F26">
        <v>4</v>
      </c>
      <c r="G26">
        <v>0</v>
      </c>
    </row>
    <row r="27" spans="1:9">
      <c r="A27" s="2" t="s">
        <v>77</v>
      </c>
      <c r="B27" s="2" t="s">
        <v>16</v>
      </c>
      <c r="C27" s="2" t="s">
        <v>16</v>
      </c>
      <c r="D27" s="1" t="s">
        <v>122</v>
      </c>
      <c r="E27">
        <f t="shared" si="0"/>
        <v>3</v>
      </c>
      <c r="F27">
        <v>4</v>
      </c>
      <c r="G27">
        <v>2</v>
      </c>
    </row>
    <row r="28" spans="1:9">
      <c r="C28" s="2" t="s">
        <v>14</v>
      </c>
      <c r="D28" s="1" t="s">
        <v>158</v>
      </c>
      <c r="E28">
        <f t="shared" si="0"/>
        <v>3</v>
      </c>
      <c r="F28">
        <v>4</v>
      </c>
      <c r="G28">
        <v>2</v>
      </c>
    </row>
    <row r="29" spans="1:9">
      <c r="B29" s="2" t="s">
        <v>14</v>
      </c>
      <c r="C29" s="2" t="s">
        <v>16</v>
      </c>
      <c r="D29" s="1" t="s">
        <v>123</v>
      </c>
      <c r="E29">
        <f t="shared" si="0"/>
        <v>5</v>
      </c>
      <c r="F29">
        <v>4</v>
      </c>
      <c r="G29">
        <v>2</v>
      </c>
    </row>
    <row r="30" spans="1:9">
      <c r="C30" s="2" t="s">
        <v>14</v>
      </c>
      <c r="D30" s="1" t="s">
        <v>64</v>
      </c>
      <c r="E30">
        <f t="shared" si="0"/>
        <v>3</v>
      </c>
      <c r="F30">
        <v>4</v>
      </c>
      <c r="G30">
        <v>2</v>
      </c>
    </row>
    <row r="31" spans="1:9">
      <c r="B31" s="2" t="s">
        <v>21</v>
      </c>
      <c r="D31" s="1" t="s">
        <v>18</v>
      </c>
      <c r="E31">
        <f t="shared" si="0"/>
        <v>1</v>
      </c>
      <c r="F31">
        <v>4</v>
      </c>
      <c r="G31">
        <v>2</v>
      </c>
    </row>
    <row r="32" spans="1:9">
      <c r="B32" s="2" t="s">
        <v>13</v>
      </c>
      <c r="D32" s="1" t="s">
        <v>159</v>
      </c>
      <c r="E32">
        <f t="shared" si="0"/>
        <v>23</v>
      </c>
      <c r="F32">
        <v>4</v>
      </c>
      <c r="G32">
        <v>2</v>
      </c>
    </row>
    <row r="33" spans="2:7">
      <c r="B33" s="2" t="s">
        <v>77</v>
      </c>
      <c r="C33" s="2" t="s">
        <v>16</v>
      </c>
      <c r="D33" s="1" t="s">
        <v>160</v>
      </c>
      <c r="E33">
        <f t="shared" si="0"/>
        <v>13</v>
      </c>
      <c r="F33">
        <v>4</v>
      </c>
      <c r="G33">
        <v>2</v>
      </c>
    </row>
    <row r="34" spans="2:7">
      <c r="C34" s="2" t="s">
        <v>14</v>
      </c>
      <c r="D34" s="1" t="s">
        <v>161</v>
      </c>
      <c r="E34">
        <f t="shared" si="0"/>
        <v>32</v>
      </c>
      <c r="F34">
        <v>4</v>
      </c>
      <c r="G34">
        <v>2</v>
      </c>
    </row>
    <row r="35" spans="2:7">
      <c r="B35" s="2" t="s">
        <v>78</v>
      </c>
      <c r="E35" t="str">
        <f t="shared" si="0"/>
        <v/>
      </c>
      <c r="F35">
        <v>4</v>
      </c>
      <c r="G35">
        <v>0</v>
      </c>
    </row>
    <row r="36" spans="2:7">
      <c r="E36" t="str">
        <f t="shared" si="0"/>
        <v/>
      </c>
    </row>
    <row r="37" spans="2:7">
      <c r="E37" t="str">
        <f t="shared" si="0"/>
        <v/>
      </c>
    </row>
    <row r="38" spans="2:7">
      <c r="E38" t="str">
        <f t="shared" si="0"/>
        <v/>
      </c>
    </row>
    <row r="39" spans="2:7">
      <c r="E39" t="str">
        <f t="shared" si="0"/>
        <v/>
      </c>
    </row>
    <row r="40" spans="2:7">
      <c r="E40" t="str">
        <f t="shared" si="0"/>
        <v/>
      </c>
    </row>
    <row r="41" spans="2:7">
      <c r="E41" t="str">
        <f t="shared" si="0"/>
        <v/>
      </c>
    </row>
    <row r="42" spans="2:7">
      <c r="E42" t="str">
        <f t="shared" si="0"/>
        <v/>
      </c>
    </row>
    <row r="43" spans="2:7">
      <c r="E43" t="str">
        <f t="shared" si="0"/>
        <v/>
      </c>
    </row>
    <row r="44" spans="2:7">
      <c r="E44" t="str">
        <f t="shared" si="0"/>
        <v/>
      </c>
    </row>
    <row r="45" spans="2:7">
      <c r="E45" t="str">
        <f t="shared" si="0"/>
        <v/>
      </c>
    </row>
    <row r="46" spans="2:7">
      <c r="E46" t="str">
        <f t="shared" si="0"/>
        <v/>
      </c>
    </row>
    <row r="47" spans="2:7">
      <c r="E47" t="str">
        <f t="shared" si="0"/>
        <v/>
      </c>
    </row>
    <row r="48" spans="2:7">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D29D8-DA07-41F1-A9EF-CB051BB2FDA2}">
  <sheetPr codeName="Sheet6"/>
  <dimension ref="A1:U167"/>
  <sheetViews>
    <sheetView tabSelected="1" zoomScaleNormal="100" workbookViewId="0">
      <pane xSplit="1" ySplit="3" topLeftCell="B15" activePane="bottomRight" state="frozen"/>
      <selection pane="topRight" activeCell="B1" sqref="B1"/>
      <selection pane="bottomLeft" activeCell="A4" sqref="A4"/>
      <selection pane="bottomRight" activeCell="F35" sqref="F35"/>
    </sheetView>
  </sheetViews>
  <sheetFormatPr defaultRowHeight="18.75"/>
  <cols>
    <col min="1" max="1" width="7.375" style="2" customWidth="1"/>
    <col min="2" max="2" width="8.5" style="2" customWidth="1"/>
    <col min="3" max="3" width="9" style="2"/>
    <col min="4" max="4" width="73.75" style="4" customWidth="1"/>
    <col min="5" max="5" width="9.75" customWidth="1"/>
  </cols>
  <sheetData>
    <row r="1" spans="1:21">
      <c r="A1" s="6" t="s">
        <v>0</v>
      </c>
      <c r="B1" s="6"/>
      <c r="C1" s="6"/>
      <c r="D1" s="4" t="s">
        <v>15</v>
      </c>
    </row>
    <row r="2" spans="1:21">
      <c r="A2" s="6" t="s">
        <v>2</v>
      </c>
      <c r="B2" s="6"/>
      <c r="C2" s="6"/>
      <c r="D2" s="5" t="s">
        <v>21</v>
      </c>
      <c r="F2">
        <f>SUM(F4:F1000)</f>
        <v>84</v>
      </c>
      <c r="G2">
        <f>SUM(G4:G1000)</f>
        <v>100</v>
      </c>
    </row>
    <row r="3" spans="1:21">
      <c r="A3" s="6" t="s">
        <v>1</v>
      </c>
      <c r="B3" s="6"/>
      <c r="C3" s="6"/>
      <c r="D3" s="4" t="s">
        <v>3</v>
      </c>
      <c r="E3" t="s">
        <v>6</v>
      </c>
      <c r="F3" t="s">
        <v>4</v>
      </c>
      <c r="G3" t="s">
        <v>5</v>
      </c>
    </row>
    <row r="4" spans="1:21">
      <c r="A4" s="2" t="s">
        <v>16</v>
      </c>
      <c r="C4" s="2" t="s">
        <v>67</v>
      </c>
      <c r="D4" s="4">
        <v>2.4</v>
      </c>
      <c r="E4">
        <f>IF(D4&lt;&gt;"",LEN(D4),"")</f>
        <v>3</v>
      </c>
      <c r="F4">
        <v>2</v>
      </c>
      <c r="G4">
        <v>2</v>
      </c>
      <c r="I4" t="s">
        <v>79</v>
      </c>
      <c r="K4" t="s">
        <v>84</v>
      </c>
      <c r="M4" t="s">
        <v>89</v>
      </c>
      <c r="O4" t="s">
        <v>162</v>
      </c>
      <c r="Q4" t="s">
        <v>175</v>
      </c>
    </row>
    <row r="5" spans="1:21">
      <c r="C5" s="2" t="s">
        <v>68</v>
      </c>
      <c r="D5" s="4">
        <v>5</v>
      </c>
      <c r="E5">
        <f t="shared" ref="E5:E68" si="0">IF(D5&lt;&gt;"",LEN(D5),"")</f>
        <v>1</v>
      </c>
      <c r="F5">
        <v>2</v>
      </c>
      <c r="G5">
        <v>2</v>
      </c>
      <c r="I5" t="s">
        <v>80</v>
      </c>
      <c r="K5" t="s">
        <v>85</v>
      </c>
      <c r="M5" t="s">
        <v>90</v>
      </c>
      <c r="O5" t="s">
        <v>163</v>
      </c>
      <c r="Q5" t="s">
        <v>176</v>
      </c>
    </row>
    <row r="6" spans="1:21">
      <c r="C6" s="2" t="s">
        <v>69</v>
      </c>
      <c r="D6" s="4" t="s">
        <v>174</v>
      </c>
      <c r="E6">
        <f t="shared" si="0"/>
        <v>3</v>
      </c>
      <c r="F6">
        <v>2</v>
      </c>
      <c r="G6">
        <v>2</v>
      </c>
      <c r="I6" t="s">
        <v>81</v>
      </c>
      <c r="K6" t="s">
        <v>86</v>
      </c>
      <c r="M6" t="s">
        <v>91</v>
      </c>
      <c r="O6" t="s">
        <v>164</v>
      </c>
      <c r="Q6" t="s">
        <v>177</v>
      </c>
    </row>
    <row r="7" spans="1:21">
      <c r="C7" s="2" t="s">
        <v>70</v>
      </c>
      <c r="D7" s="4" t="s">
        <v>178</v>
      </c>
      <c r="E7">
        <f t="shared" si="0"/>
        <v>2</v>
      </c>
      <c r="F7">
        <v>0</v>
      </c>
      <c r="G7">
        <v>2</v>
      </c>
      <c r="I7" t="s">
        <v>82</v>
      </c>
      <c r="K7" t="s">
        <v>87</v>
      </c>
      <c r="M7" t="s">
        <v>92</v>
      </c>
      <c r="O7" t="s">
        <v>165</v>
      </c>
    </row>
    <row r="8" spans="1:21">
      <c r="C8" s="2" t="s">
        <v>71</v>
      </c>
      <c r="D8" s="4">
        <v>802.3</v>
      </c>
      <c r="E8">
        <f t="shared" si="0"/>
        <v>5</v>
      </c>
      <c r="F8">
        <v>0</v>
      </c>
      <c r="G8">
        <v>2</v>
      </c>
      <c r="I8" t="s">
        <v>83</v>
      </c>
      <c r="K8" t="s">
        <v>88</v>
      </c>
      <c r="M8" t="s">
        <v>98</v>
      </c>
      <c r="O8" t="s">
        <v>166</v>
      </c>
    </row>
    <row r="9" spans="1:21">
      <c r="A9" s="2" t="s">
        <v>14</v>
      </c>
      <c r="B9" s="2" t="s">
        <v>16</v>
      </c>
      <c r="C9" s="2" t="s">
        <v>72</v>
      </c>
      <c r="D9" s="4" t="s">
        <v>180</v>
      </c>
      <c r="E9">
        <f t="shared" si="0"/>
        <v>5</v>
      </c>
      <c r="F9">
        <v>2</v>
      </c>
      <c r="G9">
        <v>2</v>
      </c>
      <c r="I9" t="s">
        <v>100</v>
      </c>
      <c r="K9" t="s">
        <v>104</v>
      </c>
      <c r="M9" t="s">
        <v>99</v>
      </c>
      <c r="O9" t="s">
        <v>167</v>
      </c>
      <c r="U9" t="s">
        <v>179</v>
      </c>
    </row>
    <row r="10" spans="1:21">
      <c r="C10" s="2" t="s">
        <v>73</v>
      </c>
      <c r="D10" s="4" t="s">
        <v>181</v>
      </c>
      <c r="E10">
        <f t="shared" si="0"/>
        <v>2</v>
      </c>
      <c r="F10">
        <v>2</v>
      </c>
      <c r="G10">
        <v>2</v>
      </c>
      <c r="I10" t="s">
        <v>101</v>
      </c>
      <c r="K10" t="s">
        <v>105</v>
      </c>
      <c r="M10" t="s">
        <v>108</v>
      </c>
      <c r="O10" t="s">
        <v>168</v>
      </c>
    </row>
    <row r="11" spans="1:21">
      <c r="C11" s="2" t="s">
        <v>74</v>
      </c>
      <c r="D11" s="4" t="s">
        <v>182</v>
      </c>
      <c r="E11">
        <f t="shared" si="0"/>
        <v>5</v>
      </c>
      <c r="F11">
        <v>2</v>
      </c>
      <c r="G11">
        <v>2</v>
      </c>
      <c r="I11" t="s">
        <v>102</v>
      </c>
      <c r="K11" t="s">
        <v>106</v>
      </c>
      <c r="M11" t="s">
        <v>109</v>
      </c>
      <c r="O11" t="s">
        <v>169</v>
      </c>
    </row>
    <row r="12" spans="1:21">
      <c r="C12" s="2" t="s">
        <v>75</v>
      </c>
      <c r="D12" s="4" t="s">
        <v>183</v>
      </c>
      <c r="E12">
        <f t="shared" si="0"/>
        <v>3</v>
      </c>
      <c r="F12">
        <v>0</v>
      </c>
      <c r="G12">
        <v>2</v>
      </c>
      <c r="I12" t="s">
        <v>103</v>
      </c>
      <c r="K12" t="s">
        <v>107</v>
      </c>
      <c r="M12" t="s">
        <v>110</v>
      </c>
      <c r="O12" t="s">
        <v>170</v>
      </c>
    </row>
    <row r="13" spans="1:21">
      <c r="C13" s="2" t="s">
        <v>76</v>
      </c>
      <c r="D13" s="4" t="s">
        <v>184</v>
      </c>
      <c r="E13">
        <f t="shared" si="0"/>
        <v>3</v>
      </c>
      <c r="F13">
        <v>0</v>
      </c>
      <c r="G13">
        <v>2</v>
      </c>
      <c r="I13" t="s">
        <v>112</v>
      </c>
      <c r="K13" t="s">
        <v>117</v>
      </c>
      <c r="M13" t="s">
        <v>111</v>
      </c>
      <c r="O13" t="s">
        <v>171</v>
      </c>
    </row>
    <row r="14" spans="1:21">
      <c r="B14" s="2" t="s">
        <v>14</v>
      </c>
      <c r="D14" s="4" t="s">
        <v>185</v>
      </c>
      <c r="E14">
        <f t="shared" si="0"/>
        <v>25</v>
      </c>
      <c r="F14">
        <v>0</v>
      </c>
      <c r="G14">
        <v>4</v>
      </c>
      <c r="I14" t="s">
        <v>114</v>
      </c>
      <c r="K14" t="s">
        <v>119</v>
      </c>
      <c r="M14" t="s">
        <v>192</v>
      </c>
      <c r="O14" t="s">
        <v>172</v>
      </c>
    </row>
    <row r="15" spans="1:21">
      <c r="A15" s="2" t="s">
        <v>21</v>
      </c>
      <c r="B15" s="2" t="s">
        <v>16</v>
      </c>
      <c r="D15" s="4" t="s">
        <v>186</v>
      </c>
      <c r="E15">
        <f t="shared" si="0"/>
        <v>8</v>
      </c>
      <c r="F15">
        <v>4</v>
      </c>
      <c r="G15">
        <v>4</v>
      </c>
      <c r="I15" t="s">
        <v>115</v>
      </c>
      <c r="K15" t="s">
        <v>120</v>
      </c>
      <c r="M15" t="s">
        <v>193</v>
      </c>
      <c r="O15" t="s">
        <v>173</v>
      </c>
    </row>
    <row r="16" spans="1:21">
      <c r="B16" s="2" t="s">
        <v>14</v>
      </c>
      <c r="C16" s="2" t="s">
        <v>16</v>
      </c>
      <c r="D16" s="4" t="s">
        <v>187</v>
      </c>
      <c r="E16">
        <f t="shared" si="0"/>
        <v>35</v>
      </c>
      <c r="F16">
        <v>3</v>
      </c>
      <c r="G16">
        <v>3</v>
      </c>
      <c r="I16" t="s">
        <v>116</v>
      </c>
      <c r="K16" t="s">
        <v>121</v>
      </c>
      <c r="M16" t="s">
        <v>194</v>
      </c>
      <c r="O16" t="s">
        <v>197</v>
      </c>
    </row>
    <row r="17" spans="1:15">
      <c r="C17" s="2" t="s">
        <v>14</v>
      </c>
      <c r="D17" s="4" t="s">
        <v>188</v>
      </c>
      <c r="E17">
        <f t="shared" si="0"/>
        <v>30</v>
      </c>
      <c r="F17">
        <v>3</v>
      </c>
      <c r="G17">
        <v>3</v>
      </c>
      <c r="K17" t="s">
        <v>201</v>
      </c>
      <c r="O17" t="s">
        <v>198</v>
      </c>
    </row>
    <row r="18" spans="1:15">
      <c r="B18" s="2" t="s">
        <v>21</v>
      </c>
      <c r="D18" s="4" t="s">
        <v>189</v>
      </c>
      <c r="E18">
        <f t="shared" si="0"/>
        <v>16</v>
      </c>
      <c r="F18">
        <v>4</v>
      </c>
      <c r="G18">
        <v>4</v>
      </c>
      <c r="I18">
        <f>6.97*1000/8/8*4*3/2</f>
        <v>653.4375</v>
      </c>
    </row>
    <row r="19" spans="1:15">
      <c r="B19" s="2" t="s">
        <v>13</v>
      </c>
      <c r="C19" s="2" t="s">
        <v>16</v>
      </c>
      <c r="D19" s="4">
        <v>4</v>
      </c>
      <c r="E19">
        <f t="shared" si="0"/>
        <v>1</v>
      </c>
      <c r="F19">
        <v>3</v>
      </c>
      <c r="G19">
        <v>3</v>
      </c>
    </row>
    <row r="20" spans="1:15">
      <c r="C20" s="2" t="s">
        <v>14</v>
      </c>
      <c r="D20" s="4" t="s">
        <v>190</v>
      </c>
      <c r="E20">
        <f t="shared" si="0"/>
        <v>25</v>
      </c>
      <c r="F20">
        <v>3</v>
      </c>
      <c r="G20">
        <v>3</v>
      </c>
    </row>
    <row r="21" spans="1:15">
      <c r="B21" s="2" t="s">
        <v>77</v>
      </c>
      <c r="C21" s="2" t="s">
        <v>16</v>
      </c>
      <c r="D21" s="4" t="s">
        <v>191</v>
      </c>
      <c r="E21">
        <f t="shared" si="0"/>
        <v>4</v>
      </c>
      <c r="F21">
        <v>3</v>
      </c>
      <c r="G21">
        <v>3</v>
      </c>
    </row>
    <row r="22" spans="1:15">
      <c r="C22" s="2" t="s">
        <v>14</v>
      </c>
      <c r="D22" s="4">
        <f>18*12</f>
        <v>216</v>
      </c>
      <c r="E22">
        <f t="shared" si="0"/>
        <v>3</v>
      </c>
      <c r="F22">
        <v>3</v>
      </c>
      <c r="G22">
        <v>3</v>
      </c>
    </row>
    <row r="23" spans="1:15">
      <c r="A23" s="2" t="s">
        <v>13</v>
      </c>
      <c r="B23" s="2" t="s">
        <v>16</v>
      </c>
      <c r="C23" s="2" t="s">
        <v>16</v>
      </c>
      <c r="D23" s="4" t="s">
        <v>196</v>
      </c>
      <c r="E23">
        <f t="shared" si="0"/>
        <v>10</v>
      </c>
      <c r="F23">
        <v>3</v>
      </c>
      <c r="G23">
        <v>3</v>
      </c>
      <c r="I23" t="s">
        <v>118</v>
      </c>
    </row>
    <row r="24" spans="1:15">
      <c r="C24" s="2" t="s">
        <v>14</v>
      </c>
      <c r="D24" s="4" t="s">
        <v>195</v>
      </c>
      <c r="E24">
        <f t="shared" si="0"/>
        <v>10</v>
      </c>
      <c r="F24">
        <v>3</v>
      </c>
      <c r="G24">
        <v>3</v>
      </c>
    </row>
    <row r="25" spans="1:15" ht="37.5">
      <c r="B25" s="2" t="s">
        <v>14</v>
      </c>
      <c r="D25" s="4" t="s">
        <v>200</v>
      </c>
      <c r="E25">
        <f t="shared" si="0"/>
        <v>49</v>
      </c>
      <c r="F25">
        <v>4</v>
      </c>
      <c r="G25">
        <v>4</v>
      </c>
    </row>
    <row r="26" spans="1:15">
      <c r="B26" s="2" t="s">
        <v>21</v>
      </c>
      <c r="D26" s="4" t="s">
        <v>199</v>
      </c>
      <c r="E26">
        <f t="shared" si="0"/>
        <v>20</v>
      </c>
      <c r="F26">
        <v>4</v>
      </c>
      <c r="G26">
        <v>4</v>
      </c>
    </row>
    <row r="27" spans="1:15">
      <c r="A27" s="2" t="s">
        <v>77</v>
      </c>
      <c r="B27" s="2" t="s">
        <v>16</v>
      </c>
      <c r="C27" s="2" t="s">
        <v>16</v>
      </c>
      <c r="D27" s="4" t="s">
        <v>194</v>
      </c>
      <c r="E27">
        <f t="shared" si="0"/>
        <v>3</v>
      </c>
      <c r="F27">
        <v>4</v>
      </c>
      <c r="G27">
        <v>4</v>
      </c>
    </row>
    <row r="28" spans="1:15">
      <c r="C28" s="2" t="s">
        <v>14</v>
      </c>
      <c r="D28" s="4" t="s">
        <v>202</v>
      </c>
      <c r="E28">
        <f t="shared" si="0"/>
        <v>2</v>
      </c>
      <c r="F28">
        <v>4</v>
      </c>
      <c r="G28">
        <v>4</v>
      </c>
    </row>
    <row r="29" spans="1:15">
      <c r="B29" s="2" t="s">
        <v>14</v>
      </c>
      <c r="C29" s="2" t="s">
        <v>16</v>
      </c>
      <c r="D29" s="4" t="s">
        <v>203</v>
      </c>
      <c r="E29">
        <f t="shared" si="0"/>
        <v>4</v>
      </c>
      <c r="F29">
        <v>0</v>
      </c>
      <c r="G29">
        <v>4</v>
      </c>
    </row>
    <row r="30" spans="1:15">
      <c r="C30" s="2" t="s">
        <v>14</v>
      </c>
      <c r="D30" s="4" t="s">
        <v>204</v>
      </c>
      <c r="E30">
        <f t="shared" si="0"/>
        <v>3</v>
      </c>
      <c r="F30">
        <v>4</v>
      </c>
      <c r="G30">
        <v>4</v>
      </c>
    </row>
    <row r="31" spans="1:15">
      <c r="B31" s="2" t="s">
        <v>21</v>
      </c>
      <c r="D31" s="4" t="s">
        <v>205</v>
      </c>
      <c r="E31">
        <f t="shared" si="0"/>
        <v>1</v>
      </c>
      <c r="F31">
        <v>4</v>
      </c>
      <c r="G31">
        <v>4</v>
      </c>
    </row>
    <row r="32" spans="1:15">
      <c r="B32" s="2" t="s">
        <v>13</v>
      </c>
      <c r="D32" s="4" t="s">
        <v>206</v>
      </c>
      <c r="E32">
        <f t="shared" si="0"/>
        <v>35</v>
      </c>
      <c r="F32">
        <v>4</v>
      </c>
      <c r="G32">
        <v>4</v>
      </c>
    </row>
    <row r="33" spans="2:7">
      <c r="B33" s="2" t="s">
        <v>77</v>
      </c>
      <c r="C33" s="2" t="s">
        <v>16</v>
      </c>
      <c r="D33" s="4" t="s">
        <v>207</v>
      </c>
      <c r="E33">
        <f t="shared" si="0"/>
        <v>13</v>
      </c>
      <c r="F33">
        <v>4</v>
      </c>
      <c r="G33">
        <v>4</v>
      </c>
    </row>
    <row r="34" spans="2:7">
      <c r="C34" s="2" t="s">
        <v>14</v>
      </c>
      <c r="D34" s="4" t="s">
        <v>208</v>
      </c>
      <c r="E34">
        <f t="shared" si="0"/>
        <v>22</v>
      </c>
      <c r="F34">
        <v>4</v>
      </c>
      <c r="G34">
        <v>4</v>
      </c>
    </row>
    <row r="35" spans="2:7" ht="37.5">
      <c r="B35" s="2" t="s">
        <v>78</v>
      </c>
      <c r="D35" s="4" t="s">
        <v>209</v>
      </c>
      <c r="E35">
        <f t="shared" si="0"/>
        <v>41</v>
      </c>
      <c r="F35">
        <v>4</v>
      </c>
      <c r="G35">
        <v>4</v>
      </c>
    </row>
    <row r="36" spans="2:7">
      <c r="E36" t="str">
        <f t="shared" si="0"/>
        <v/>
      </c>
    </row>
    <row r="37" spans="2:7">
      <c r="E37" t="str">
        <f t="shared" si="0"/>
        <v/>
      </c>
    </row>
    <row r="38" spans="2:7">
      <c r="E38" t="str">
        <f t="shared" si="0"/>
        <v/>
      </c>
    </row>
    <row r="39" spans="2:7">
      <c r="E39" t="str">
        <f t="shared" si="0"/>
        <v/>
      </c>
    </row>
    <row r="40" spans="2:7">
      <c r="E40" t="str">
        <f t="shared" si="0"/>
        <v/>
      </c>
    </row>
    <row r="41" spans="2:7">
      <c r="E41" t="str">
        <f t="shared" si="0"/>
        <v/>
      </c>
    </row>
    <row r="42" spans="2:7">
      <c r="E42" t="str">
        <f t="shared" si="0"/>
        <v/>
      </c>
    </row>
    <row r="43" spans="2:7">
      <c r="E43" t="str">
        <f t="shared" si="0"/>
        <v/>
      </c>
    </row>
    <row r="44" spans="2:7">
      <c r="E44" t="str">
        <f t="shared" si="0"/>
        <v/>
      </c>
    </row>
    <row r="45" spans="2:7">
      <c r="E45" t="str">
        <f t="shared" si="0"/>
        <v/>
      </c>
    </row>
    <row r="46" spans="2:7">
      <c r="E46" t="str">
        <f t="shared" si="0"/>
        <v/>
      </c>
    </row>
    <row r="47" spans="2:7">
      <c r="E47" t="str">
        <f t="shared" si="0"/>
        <v/>
      </c>
    </row>
    <row r="48" spans="2:7">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9FDD-170C-4FD1-A67C-8A6BA838679E}">
  <dimension ref="A2:D6"/>
  <sheetViews>
    <sheetView workbookViewId="0">
      <selection activeCell="C6" sqref="C6"/>
    </sheetView>
  </sheetViews>
  <sheetFormatPr defaultRowHeight="18.75"/>
  <cols>
    <col min="2" max="2" width="11" bestFit="1" customWidth="1"/>
  </cols>
  <sheetData>
    <row r="2" spans="1:4">
      <c r="A2" t="s">
        <v>137</v>
      </c>
      <c r="B2" t="s">
        <v>138</v>
      </c>
      <c r="C2" t="s">
        <v>139</v>
      </c>
      <c r="D2" t="s">
        <v>140</v>
      </c>
    </row>
    <row r="3" spans="1:4">
      <c r="B3" t="s">
        <v>141</v>
      </c>
      <c r="C3">
        <v>2</v>
      </c>
      <c r="D3" t="s">
        <v>144</v>
      </c>
    </row>
    <row r="4" spans="1:4">
      <c r="B4" t="s">
        <v>142</v>
      </c>
      <c r="C4">
        <v>1</v>
      </c>
      <c r="D4" t="s">
        <v>144</v>
      </c>
    </row>
    <row r="5" spans="1:4">
      <c r="B5" t="s">
        <v>143</v>
      </c>
      <c r="C5">
        <v>2</v>
      </c>
      <c r="D5" t="s">
        <v>144</v>
      </c>
    </row>
    <row r="6" spans="1:4">
      <c r="B6" t="s">
        <v>145</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レビュー</vt:lpstr>
      <vt:lpstr>format</vt:lpstr>
      <vt:lpstr>1</vt:lpstr>
      <vt:lpstr>2</vt:lpstr>
      <vt:lpstr>3_1</vt:lpstr>
      <vt:lpstr>3_2</vt:lpstr>
      <vt:lpstr>荷物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2026-09-13T04:12:45Z</dcterms:modified>
</cp:coreProperties>
</file>