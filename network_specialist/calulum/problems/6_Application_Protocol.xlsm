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ycharmProjects\security_specialist\network_specialist\calulum\problems\"/>
    </mc:Choice>
  </mc:AlternateContent>
  <xr:revisionPtr revIDLastSave="0" documentId="13_ncr:1_{72521A52-74DB-4D7E-AC5C-608017573876}" xr6:coauthVersionLast="47" xr6:coauthVersionMax="47" xr10:uidLastSave="{00000000-0000-0000-0000-000000000000}"/>
  <bookViews>
    <workbookView xWindow="10785" yWindow="255" windowWidth="20790" windowHeight="14580" activeTab="2" xr2:uid="{00000000-000D-0000-FFFF-FFFF00000000}"/>
  </bookViews>
  <sheets>
    <sheet name="レビュー" sheetId="2" r:id="rId1"/>
    <sheet name="1" sheetId="5" r:id="rId2"/>
    <sheet name="2" sheetId="4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7" i="5" l="1"/>
  <c r="E166" i="5"/>
  <c r="E165" i="5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G2" i="5"/>
  <c r="F2" i="5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G2" i="4"/>
  <c r="F2" i="4"/>
</calcChain>
</file>

<file path=xl/sharedStrings.xml><?xml version="1.0" encoding="utf-8"?>
<sst xmlns="http://schemas.openxmlformats.org/spreadsheetml/2006/main" count="115" uniqueCount="80">
  <si>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</si>
  <si>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</si>
  <si>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</si>
  <si>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</si>
  <si>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</si>
  <si>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</si>
  <si>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</si>
  <si>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</si>
  <si>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</si>
  <si>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</si>
  <si>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</si>
  <si>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</si>
  <si>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</si>
  <si>
    <t>10-1</t>
  </si>
  <si>
    <t>10-2</t>
  </si>
  <si>
    <t>10-1-rev</t>
  </si>
  <si>
    <t>10-2-rev</t>
  </si>
  <si>
    <t>重点対策</t>
    <rPh sb="0" eb="2">
      <t>ジュウテン</t>
    </rPh>
    <rPh sb="2" eb="4">
      <t>タイサク</t>
    </rPh>
    <phoneticPr fontId="1"/>
  </si>
  <si>
    <t>1</t>
    <phoneticPr fontId="1"/>
  </si>
  <si>
    <t>ア</t>
    <phoneticPr fontId="1"/>
  </si>
  <si>
    <t>イ</t>
    <phoneticPr fontId="1"/>
  </si>
  <si>
    <t>ウ</t>
    <phoneticPr fontId="1"/>
  </si>
  <si>
    <t>エ</t>
    <phoneticPr fontId="1"/>
  </si>
  <si>
    <t>オ</t>
    <phoneticPr fontId="1"/>
  </si>
  <si>
    <t>2</t>
    <phoneticPr fontId="1"/>
  </si>
  <si>
    <t>3</t>
    <phoneticPr fontId="1"/>
  </si>
  <si>
    <t>4</t>
    <phoneticPr fontId="1"/>
  </si>
  <si>
    <t>SSOの導入</t>
    <rPh sb="4" eb="6">
      <t>ドウニュウ</t>
    </rPh>
    <phoneticPr fontId="1"/>
  </si>
  <si>
    <t>広告代理店</t>
    <rPh sb="0" eb="5">
      <t>コウコクダイリテン</t>
    </rPh>
    <phoneticPr fontId="1"/>
  </si>
  <si>
    <t>アプリケーションを導入してきた</t>
    <rPh sb="9" eb="11">
      <t>ドウニュウ</t>
    </rPh>
    <phoneticPr fontId="1"/>
  </si>
  <si>
    <t>利用者認証は個別に行っている</t>
    <rPh sb="0" eb="3">
      <t>リヨウシャ</t>
    </rPh>
    <rPh sb="3" eb="5">
      <t>ニンショウ</t>
    </rPh>
    <rPh sb="6" eb="8">
      <t>コベツ</t>
    </rPh>
    <rPh sb="9" eb="10">
      <t>オコナ</t>
    </rPh>
    <phoneticPr fontId="1"/>
  </si>
  <si>
    <t>利便性が低いので改善要望</t>
    <rPh sb="0" eb="3">
      <t>リベンセイ</t>
    </rPh>
    <rPh sb="4" eb="5">
      <t>ヒク</t>
    </rPh>
    <rPh sb="8" eb="12">
      <t>カイゼンヨウボウ</t>
    </rPh>
    <phoneticPr fontId="1"/>
  </si>
  <si>
    <t>SSOの導入を考える</t>
    <rPh sb="4" eb="6">
      <t>ドウニュウ</t>
    </rPh>
    <rPh sb="7" eb="8">
      <t>カンガ</t>
    </rPh>
    <phoneticPr fontId="1"/>
  </si>
  <si>
    <t>システムは試験的に導入う</t>
    <rPh sb="5" eb="8">
      <t>シケンテキ</t>
    </rPh>
    <rPh sb="9" eb="11">
      <t>ドウニュウ</t>
    </rPh>
    <phoneticPr fontId="1"/>
  </si>
  <si>
    <t>要件をとりまとめ検討</t>
    <rPh sb="0" eb="2">
      <t>ヨウケン</t>
    </rPh>
    <rPh sb="8" eb="10">
      <t>ケントウ</t>
    </rPh>
    <phoneticPr fontId="1"/>
  </si>
  <si>
    <t>SSOを可能とする</t>
    <rPh sb="4" eb="6">
      <t>カノウ</t>
    </rPh>
    <phoneticPr fontId="1"/>
  </si>
  <si>
    <t>LB</t>
    <phoneticPr fontId="1"/>
  </si>
  <si>
    <t>DSR方式を使用</t>
    <rPh sb="3" eb="5">
      <t>ホウシキ</t>
    </rPh>
    <rPh sb="6" eb="8">
      <t>シヨウ</t>
    </rPh>
    <phoneticPr fontId="1"/>
  </si>
  <si>
    <t>SSOの方式と認証処理シーケンス</t>
    <rPh sb="4" eb="6">
      <t>ホウシキ</t>
    </rPh>
    <rPh sb="7" eb="9">
      <t>ニンショウ</t>
    </rPh>
    <rPh sb="9" eb="11">
      <t>ショリ</t>
    </rPh>
    <phoneticPr fontId="1"/>
  </si>
  <si>
    <t>SSOで利用したいサーバに絵０じぇんと</t>
    <rPh sb="4" eb="6">
      <t>リヨウ</t>
    </rPh>
    <rPh sb="13" eb="14">
      <t>エ</t>
    </rPh>
    <phoneticPr fontId="1"/>
  </si>
  <si>
    <t>リバースプロキシ</t>
    <phoneticPr fontId="1"/>
  </si>
  <si>
    <t>リダイレクト</t>
    <phoneticPr fontId="1"/>
  </si>
  <si>
    <t>Set-Cookie</t>
    <phoneticPr fontId="1"/>
  </si>
  <si>
    <t>eigyo.a-sha.example.jp</t>
    <phoneticPr fontId="1"/>
  </si>
  <si>
    <t>CookieにSecure属性を設定する</t>
    <rPh sb="13" eb="15">
      <t>ゾクセイ</t>
    </rPh>
    <rPh sb="16" eb="18">
      <t>セッテイ</t>
    </rPh>
    <phoneticPr fontId="1"/>
  </si>
  <si>
    <t>DNS</t>
    <phoneticPr fontId="1"/>
  </si>
  <si>
    <t>VIPアドレスには負荷分散</t>
    <rPh sb="9" eb="13">
      <t>フカブンサン</t>
    </rPh>
    <phoneticPr fontId="1"/>
  </si>
  <si>
    <t>振り分け先のパケットが決定</t>
    <rPh sb="0" eb="1">
      <t>フ</t>
    </rPh>
    <rPh sb="2" eb="3">
      <t>ワ</t>
    </rPh>
    <rPh sb="4" eb="5">
      <t>サキ</t>
    </rPh>
    <rPh sb="11" eb="13">
      <t>ケッテイ</t>
    </rPh>
    <phoneticPr fontId="1"/>
  </si>
  <si>
    <t>通信コネクションがLBを経由せずに行われるため</t>
    <rPh sb="0" eb="2">
      <t>ツウシン</t>
    </rPh>
    <rPh sb="12" eb="14">
      <t>ケイユ</t>
    </rPh>
    <rPh sb="17" eb="18">
      <t>オコナ</t>
    </rPh>
    <phoneticPr fontId="1"/>
  </si>
  <si>
    <t>仮想NIC</t>
    <rPh sb="0" eb="2">
      <t>カソウ</t>
    </rPh>
    <phoneticPr fontId="1"/>
  </si>
  <si>
    <t>GARP</t>
    <phoneticPr fontId="1"/>
  </si>
  <si>
    <t>VIPアドレスに対するARPリクエストに応答しないように設定する</t>
    <rPh sb="8" eb="9">
      <t>タイ</t>
    </rPh>
    <rPh sb="20" eb="22">
      <t>オウトウ</t>
    </rPh>
    <rPh sb="28" eb="30">
      <t>セッテイ</t>
    </rPh>
    <phoneticPr fontId="1"/>
  </si>
  <si>
    <t>カ</t>
    <phoneticPr fontId="1"/>
  </si>
  <si>
    <t>変更</t>
    <rPh sb="0" eb="2">
      <t>ヘンコウ</t>
    </rPh>
    <phoneticPr fontId="1"/>
  </si>
  <si>
    <t>A社中堅のメーカ</t>
    <rPh sb="1" eb="2">
      <t>シャ</t>
    </rPh>
    <rPh sb="2" eb="4">
      <t>チュウケン</t>
    </rPh>
    <phoneticPr fontId="1"/>
  </si>
  <si>
    <t>店舗とオンラインショップで販売ブラウザ経由</t>
    <rPh sb="0" eb="2">
      <t>テンポ</t>
    </rPh>
    <rPh sb="13" eb="15">
      <t>ハンバイ</t>
    </rPh>
    <rPh sb="19" eb="21">
      <t>ケイユ</t>
    </rPh>
    <phoneticPr fontId="1"/>
  </si>
  <si>
    <t>AP</t>
    <phoneticPr fontId="1"/>
  </si>
  <si>
    <t>脆弱性を悪用</t>
    <rPh sb="0" eb="3">
      <t>ゼイジャクセイ</t>
    </rPh>
    <rPh sb="4" eb="6">
      <t>アクヨウ</t>
    </rPh>
    <phoneticPr fontId="1"/>
  </si>
  <si>
    <t>WAF</t>
    <phoneticPr fontId="1"/>
  </si>
  <si>
    <t>WAFを調査</t>
    <rPh sb="4" eb="6">
      <t>チョウサ</t>
    </rPh>
    <phoneticPr fontId="1"/>
  </si>
  <si>
    <t>HTTPS通信</t>
    <rPh sb="5" eb="7">
      <t>ツウシン</t>
    </rPh>
    <phoneticPr fontId="1"/>
  </si>
  <si>
    <t>IP-ｗ１に中継</t>
    <rPh sb="6" eb="8">
      <t>チュウケイ</t>
    </rPh>
    <phoneticPr fontId="1"/>
  </si>
  <si>
    <t>サイバー攻撃が疑われる</t>
    <rPh sb="4" eb="6">
      <t>コウゲキ</t>
    </rPh>
    <rPh sb="7" eb="8">
      <t>ウタガ</t>
    </rPh>
    <phoneticPr fontId="1"/>
  </si>
  <si>
    <t>XFFヘッダに追加する</t>
    <rPh sb="7" eb="9">
      <t>ツイカ</t>
    </rPh>
    <phoneticPr fontId="1"/>
  </si>
  <si>
    <t>T社がIP-ｗ１を変更してもＡ社DNSサーバの変更作業が不要となる。</t>
    <rPh sb="1" eb="2">
      <t>シャ</t>
    </rPh>
    <rPh sb="9" eb="11">
      <t>ヘンコウ</t>
    </rPh>
    <rPh sb="15" eb="16">
      <t>シャ</t>
    </rPh>
    <rPh sb="23" eb="27">
      <t>ヘンコウサギョウ</t>
    </rPh>
    <rPh sb="28" eb="30">
      <t>フヨウ</t>
    </rPh>
    <phoneticPr fontId="1"/>
  </si>
  <si>
    <t>WAFサービス当てに替える方法</t>
    <rPh sb="7" eb="8">
      <t>ア</t>
    </rPh>
    <rPh sb="10" eb="11">
      <t>カ</t>
    </rPh>
    <rPh sb="13" eb="15">
      <t>ホウホウ</t>
    </rPh>
    <phoneticPr fontId="1"/>
  </si>
  <si>
    <t>DNSのゾーンファイル</t>
    <phoneticPr fontId="1"/>
  </si>
  <si>
    <t>XFFの情報を記録</t>
    <rPh sb="4" eb="6">
      <t>ジョウホウ</t>
    </rPh>
    <rPh sb="7" eb="9">
      <t>キロク</t>
    </rPh>
    <phoneticPr fontId="1"/>
  </si>
  <si>
    <t>順番</t>
    <rPh sb="0" eb="2">
      <t>ジュンバン</t>
    </rPh>
    <phoneticPr fontId="1"/>
  </si>
  <si>
    <t>アクセラレーション</t>
    <phoneticPr fontId="1"/>
  </si>
  <si>
    <t>ヘッダ編集う</t>
    <rPh sb="3" eb="5">
      <t>ヘンシュウ</t>
    </rPh>
    <phoneticPr fontId="1"/>
  </si>
  <si>
    <t>200 OK</t>
    <phoneticPr fontId="1"/>
  </si>
  <si>
    <t>Cookie</t>
    <phoneticPr fontId="1"/>
  </si>
  <si>
    <t>セッション維持を行う</t>
    <rPh sb="5" eb="7">
      <t>イジ</t>
    </rPh>
    <rPh sb="8" eb="9">
      <t>オコナ</t>
    </rPh>
    <phoneticPr fontId="1"/>
  </si>
  <si>
    <t>セッションの一貫性がとれなくなる</t>
    <rPh sb="6" eb="9">
      <t>イッカンセイ</t>
    </rPh>
    <phoneticPr fontId="1"/>
  </si>
  <si>
    <t>HTTPヘッダを編集する処理</t>
    <rPh sb="8" eb="10">
      <t>ヘンシュウ</t>
    </rPh>
    <rPh sb="12" eb="14">
      <t>ショリ</t>
    </rPh>
    <phoneticPr fontId="1"/>
  </si>
  <si>
    <t>障害などでWAFの停止でも継続</t>
    <rPh sb="0" eb="2">
      <t>ショウガイ</t>
    </rPh>
    <rPh sb="9" eb="11">
      <t>テイシ</t>
    </rPh>
    <rPh sb="13" eb="15">
      <t>ケイゾク</t>
    </rPh>
    <phoneticPr fontId="1"/>
  </si>
  <si>
    <t>任意のIPアドレスからWebアシステムへのHTTPS通信を許可する</t>
    <rPh sb="0" eb="2">
      <t>ニンイ</t>
    </rPh>
    <rPh sb="26" eb="28">
      <t>ツウシン</t>
    </rPh>
    <rPh sb="29" eb="31">
      <t>キョカ</t>
    </rPh>
    <phoneticPr fontId="1"/>
  </si>
  <si>
    <t>shop IN A 199.α.β.2</t>
    <phoneticPr fontId="1"/>
  </si>
  <si>
    <t>XFFヘッダに送信元IPアドレスを追加する設定</t>
    <rPh sb="7" eb="10">
      <t>ソウシンモト</t>
    </rPh>
    <rPh sb="17" eb="19">
      <t>ツイカ</t>
    </rPh>
    <rPh sb="21" eb="23">
      <t>セッテイ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</si>
</sst>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5"/>
  <sheetViews>
    <sheetView workbookViewId="0">
      <selection activeCell="H10" sqref="H10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13</v>
      </c>
      <c r="D2">
        <v>80</v>
      </c>
      <c r="E2">
        <v>100</v>
      </c>
    </row>
    <row r="3" spans="1:6">
      <c r="A3">
        <v>2</v>
      </c>
      <c r="B3" s="2" t="s">
        <v>12</v>
      </c>
      <c r="C3" s="2" t="s">
        <v>14</v>
      </c>
      <c r="D3">
        <v>65</v>
      </c>
      <c r="E3">
        <v>100</v>
      </c>
    </row>
    <row r="4" spans="1:6">
      <c r="A4">
        <v>3</v>
      </c>
      <c r="B4" s="2" t="s">
        <v>12</v>
      </c>
      <c r="C4" s="2" t="s">
        <v>15</v>
      </c>
      <c r="D4">
        <v>89</v>
      </c>
      <c r="E4">
        <v>100</v>
      </c>
    </row>
    <row r="5" spans="1:6">
      <c r="A5">
        <v>4</v>
      </c>
      <c r="B5" s="2" t="s">
        <v>12</v>
      </c>
      <c r="C5" s="2" t="s">
        <v>16</v>
      </c>
      <c r="D5">
        <v>95</v>
      </c>
      <c r="E5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EEC63-BF18-4212-8D6A-F8308D430D80}">
  <sheetPr codeName="Sheet4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5" sqref="F5"/>
    </sheetView>
  </sheetViews>
  <sheetFormatPr defaultRowHeight="18.75"/>
  <cols>
    <col min="1" max="3" width="6.25" style="2" customWidth="1"/>
    <col min="4" max="4" width="96.875" style="1" customWidth="1"/>
    <col min="5" max="7" width="6.375" customWidth="1"/>
  </cols>
  <sheetData>
    <row r="1" spans="1:11">
      <c r="A1" s="4" t="s">
        <v>0</v>
      </c>
      <c r="B1" s="4"/>
      <c r="C1" s="4"/>
      <c r="D1" s="1" t="s">
        <v>17</v>
      </c>
    </row>
    <row r="2" spans="1:11">
      <c r="A2" s="4" t="s">
        <v>2</v>
      </c>
      <c r="B2" s="4"/>
      <c r="C2" s="4"/>
      <c r="D2" s="3" t="s">
        <v>18</v>
      </c>
      <c r="F2">
        <f>SUM(F4:F1000)</f>
        <v>26</v>
      </c>
      <c r="G2">
        <f>SUM(G4:G1000)</f>
        <v>50</v>
      </c>
    </row>
    <row r="3" spans="1:11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11">
      <c r="A4" s="2" t="s">
        <v>18</v>
      </c>
      <c r="C4" s="2" t="s">
        <v>19</v>
      </c>
      <c r="D4" s="1" t="s">
        <v>40</v>
      </c>
      <c r="E4">
        <f>IF(D4&lt;&gt;"",LEN(D4),"")</f>
        <v>8</v>
      </c>
      <c r="F4">
        <v>4</v>
      </c>
      <c r="G4">
        <v>4</v>
      </c>
      <c r="I4" t="s">
        <v>27</v>
      </c>
      <c r="K4" t="s">
        <v>33</v>
      </c>
    </row>
    <row r="5" spans="1:11">
      <c r="C5" s="2" t="s">
        <v>20</v>
      </c>
      <c r="D5" s="1" t="s">
        <v>41</v>
      </c>
      <c r="E5">
        <f t="shared" ref="E5:E68" si="0">IF(D5&lt;&gt;"",LEN(D5),"")</f>
        <v>6</v>
      </c>
      <c r="F5">
        <v>4</v>
      </c>
      <c r="G5">
        <v>4</v>
      </c>
      <c r="I5" t="s">
        <v>28</v>
      </c>
      <c r="K5" t="s">
        <v>34</v>
      </c>
    </row>
    <row r="6" spans="1:11">
      <c r="C6" s="2" t="s">
        <v>21</v>
      </c>
      <c r="D6" s="1" t="s">
        <v>42</v>
      </c>
      <c r="E6">
        <f t="shared" si="0"/>
        <v>10</v>
      </c>
      <c r="F6">
        <v>4</v>
      </c>
      <c r="G6">
        <v>4</v>
      </c>
      <c r="I6" t="s">
        <v>29</v>
      </c>
      <c r="K6" t="s">
        <v>35</v>
      </c>
    </row>
    <row r="7" spans="1:11">
      <c r="C7" s="2" t="s">
        <v>22</v>
      </c>
      <c r="D7" s="1" t="s">
        <v>45</v>
      </c>
      <c r="E7">
        <f t="shared" si="0"/>
        <v>3</v>
      </c>
      <c r="F7">
        <v>2</v>
      </c>
      <c r="G7">
        <v>4</v>
      </c>
      <c r="I7" t="s">
        <v>30</v>
      </c>
      <c r="K7" t="s">
        <v>36</v>
      </c>
    </row>
    <row r="8" spans="1:11">
      <c r="C8" s="2" t="s">
        <v>23</v>
      </c>
      <c r="D8" s="1" t="s">
        <v>49</v>
      </c>
      <c r="E8">
        <f t="shared" si="0"/>
        <v>5</v>
      </c>
      <c r="F8">
        <v>0</v>
      </c>
      <c r="G8">
        <v>4</v>
      </c>
      <c r="I8" t="s">
        <v>31</v>
      </c>
      <c r="K8" t="s">
        <v>37</v>
      </c>
    </row>
    <row r="9" spans="1:11">
      <c r="A9" s="2" t="s">
        <v>24</v>
      </c>
      <c r="D9" s="1">
        <v>5</v>
      </c>
      <c r="E9">
        <f t="shared" si="0"/>
        <v>1</v>
      </c>
      <c r="F9">
        <v>5</v>
      </c>
      <c r="G9">
        <v>5</v>
      </c>
      <c r="I9" t="s">
        <v>32</v>
      </c>
      <c r="K9" t="s">
        <v>38</v>
      </c>
    </row>
    <row r="10" spans="1:11">
      <c r="A10" s="2" t="s">
        <v>25</v>
      </c>
      <c r="B10" s="2" t="s">
        <v>18</v>
      </c>
      <c r="D10" s="1" t="s">
        <v>43</v>
      </c>
      <c r="E10">
        <f t="shared" si="0"/>
        <v>22</v>
      </c>
      <c r="F10">
        <v>5</v>
      </c>
      <c r="G10">
        <v>5</v>
      </c>
      <c r="I10" t="s">
        <v>46</v>
      </c>
      <c r="K10" t="s">
        <v>39</v>
      </c>
    </row>
    <row r="11" spans="1:11">
      <c r="B11" s="2" t="s">
        <v>24</v>
      </c>
      <c r="D11" s="1" t="s">
        <v>44</v>
      </c>
      <c r="E11">
        <f t="shared" si="0"/>
        <v>20</v>
      </c>
      <c r="F11">
        <v>0</v>
      </c>
      <c r="G11">
        <v>5</v>
      </c>
      <c r="I11" t="s">
        <v>47</v>
      </c>
    </row>
    <row r="12" spans="1:11">
      <c r="A12" s="2" t="s">
        <v>26</v>
      </c>
      <c r="B12" s="2" t="s">
        <v>18</v>
      </c>
      <c r="D12" s="1" t="s">
        <v>48</v>
      </c>
      <c r="E12">
        <f t="shared" si="0"/>
        <v>23</v>
      </c>
      <c r="F12">
        <v>0</v>
      </c>
      <c r="G12">
        <v>5</v>
      </c>
    </row>
    <row r="13" spans="1:11">
      <c r="B13" s="2" t="s">
        <v>24</v>
      </c>
      <c r="D13" s="1" t="s">
        <v>50</v>
      </c>
      <c r="E13">
        <f t="shared" si="0"/>
        <v>4</v>
      </c>
      <c r="F13">
        <v>2</v>
      </c>
      <c r="G13">
        <v>5</v>
      </c>
    </row>
    <row r="14" spans="1:11">
      <c r="B14" s="2" t="s">
        <v>25</v>
      </c>
      <c r="D14" s="1" t="s">
        <v>51</v>
      </c>
      <c r="E14">
        <f t="shared" si="0"/>
        <v>32</v>
      </c>
      <c r="F14">
        <v>0</v>
      </c>
      <c r="G14">
        <v>5</v>
      </c>
    </row>
    <row r="15" spans="1:11">
      <c r="E15" t="str">
        <f t="shared" si="0"/>
        <v/>
      </c>
    </row>
    <row r="16" spans="1:11">
      <c r="E16" t="str">
        <f t="shared" si="0"/>
        <v/>
      </c>
    </row>
    <row r="17" spans="5:5">
      <c r="E17" t="str">
        <f t="shared" si="0"/>
        <v/>
      </c>
    </row>
    <row r="18" spans="5:5">
      <c r="E18" t="str">
        <f t="shared" si="0"/>
        <v/>
      </c>
    </row>
    <row r="19" spans="5:5">
      <c r="E19" t="str">
        <f t="shared" si="0"/>
        <v/>
      </c>
    </row>
    <row r="20" spans="5:5">
      <c r="E20" t="str">
        <f t="shared" si="0"/>
        <v/>
      </c>
    </row>
    <row r="21" spans="5:5">
      <c r="E21" t="str">
        <f t="shared" si="0"/>
        <v/>
      </c>
    </row>
    <row r="22" spans="5:5">
      <c r="E22" t="str">
        <f t="shared" si="0"/>
        <v/>
      </c>
    </row>
    <row r="23" spans="5:5">
      <c r="E23" t="str">
        <f t="shared" si="0"/>
        <v/>
      </c>
    </row>
    <row r="24" spans="5:5">
      <c r="E24" t="str">
        <f t="shared" si="0"/>
        <v/>
      </c>
    </row>
    <row r="25" spans="5:5">
      <c r="E25" t="str">
        <f t="shared" si="0"/>
        <v/>
      </c>
    </row>
    <row r="26" spans="5:5">
      <c r="E26" t="str">
        <f t="shared" si="0"/>
        <v/>
      </c>
    </row>
    <row r="27" spans="5:5">
      <c r="E27" t="str">
        <f t="shared" si="0"/>
        <v/>
      </c>
    </row>
    <row r="28" spans="5:5">
      <c r="E28" t="str">
        <f t="shared" si="0"/>
        <v/>
      </c>
    </row>
    <row r="29" spans="5:5">
      <c r="E29" t="str">
        <f t="shared" si="0"/>
        <v/>
      </c>
    </row>
    <row r="30" spans="5:5">
      <c r="E30" t="str">
        <f t="shared" si="0"/>
        <v/>
      </c>
    </row>
    <row r="31" spans="5:5">
      <c r="E31" t="str">
        <f t="shared" si="0"/>
        <v/>
      </c>
    </row>
    <row r="32" spans="5:5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L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10" sqref="F10"/>
    </sheetView>
  </sheetViews>
  <sheetFormatPr defaultRowHeight="18.75"/>
  <cols>
    <col min="1" max="3" width="6.25" style="2" customWidth="1"/>
    <col min="4" max="4" width="81" style="1" customWidth="1"/>
    <col min="5" max="7" width="7.25" customWidth="1"/>
  </cols>
  <sheetData>
    <row r="1" spans="1:12">
      <c r="A1" s="4" t="s">
        <v>0</v>
      </c>
      <c r="B1" s="4"/>
      <c r="C1" s="4"/>
      <c r="D1" s="1" t="s">
        <v>17</v>
      </c>
    </row>
    <row r="2" spans="1:12">
      <c r="A2" s="4" t="s">
        <v>2</v>
      </c>
      <c r="B2" s="4"/>
      <c r="C2" s="4"/>
      <c r="D2" s="3" t="s">
        <v>24</v>
      </c>
      <c r="F2">
        <f>SUM(F4:F1000)</f>
        <v>27</v>
      </c>
      <c r="G2">
        <f>SUM(G4:G1000)</f>
        <v>50</v>
      </c>
    </row>
    <row r="3" spans="1:12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12">
      <c r="A4" s="2" t="s">
        <v>18</v>
      </c>
      <c r="D4" s="1" t="s">
        <v>64</v>
      </c>
      <c r="E4">
        <f>IF(D4&lt;&gt;"",LEN(D4),"")</f>
        <v>34</v>
      </c>
      <c r="F4">
        <v>5</v>
      </c>
      <c r="G4">
        <v>5</v>
      </c>
      <c r="H4" t="s">
        <v>54</v>
      </c>
      <c r="J4" t="s">
        <v>56</v>
      </c>
      <c r="L4" t="s">
        <v>73</v>
      </c>
    </row>
    <row r="5" spans="1:12">
      <c r="A5" s="2" t="s">
        <v>24</v>
      </c>
      <c r="B5" s="2" t="s">
        <v>18</v>
      </c>
      <c r="C5" s="2" t="s">
        <v>19</v>
      </c>
      <c r="D5" s="1" t="s">
        <v>68</v>
      </c>
      <c r="E5">
        <f t="shared" ref="E5:E68" si="0">IF(D5&lt;&gt;"",LEN(D5),"")</f>
        <v>2</v>
      </c>
      <c r="F5">
        <v>3</v>
      </c>
      <c r="G5">
        <v>3</v>
      </c>
      <c r="H5" t="s">
        <v>55</v>
      </c>
      <c r="J5" t="s">
        <v>57</v>
      </c>
    </row>
    <row r="6" spans="1:12">
      <c r="C6" s="2" t="s">
        <v>20</v>
      </c>
      <c r="D6" s="1">
        <v>80</v>
      </c>
      <c r="E6">
        <f t="shared" si="0"/>
        <v>2</v>
      </c>
      <c r="F6">
        <v>3</v>
      </c>
      <c r="G6">
        <v>3</v>
      </c>
      <c r="H6" t="s">
        <v>66</v>
      </c>
      <c r="J6" t="s">
        <v>58</v>
      </c>
    </row>
    <row r="7" spans="1:12">
      <c r="C7" s="2" t="s">
        <v>21</v>
      </c>
      <c r="D7" s="1" t="s">
        <v>71</v>
      </c>
      <c r="E7">
        <f t="shared" si="0"/>
        <v>6</v>
      </c>
      <c r="F7">
        <v>3</v>
      </c>
      <c r="G7">
        <v>3</v>
      </c>
      <c r="H7" t="s">
        <v>67</v>
      </c>
      <c r="J7" t="s">
        <v>59</v>
      </c>
    </row>
    <row r="8" spans="1:12">
      <c r="C8" s="2" t="s">
        <v>22</v>
      </c>
      <c r="D8" s="1" t="s">
        <v>42</v>
      </c>
      <c r="E8">
        <f t="shared" si="0"/>
        <v>10</v>
      </c>
      <c r="F8">
        <v>3</v>
      </c>
      <c r="G8">
        <v>3</v>
      </c>
      <c r="H8" t="s">
        <v>69</v>
      </c>
      <c r="J8" t="s">
        <v>60</v>
      </c>
    </row>
    <row r="9" spans="1:12">
      <c r="C9" s="2" t="s">
        <v>23</v>
      </c>
      <c r="D9" s="1" t="s">
        <v>72</v>
      </c>
      <c r="E9">
        <f t="shared" si="0"/>
        <v>6</v>
      </c>
      <c r="F9">
        <v>3</v>
      </c>
      <c r="G9">
        <v>3</v>
      </c>
      <c r="H9" t="s">
        <v>70</v>
      </c>
      <c r="J9" t="s">
        <v>61</v>
      </c>
    </row>
    <row r="10" spans="1:12">
      <c r="B10" s="2" t="s">
        <v>24</v>
      </c>
      <c r="D10" s="1" t="s">
        <v>74</v>
      </c>
      <c r="E10">
        <f t="shared" si="0"/>
        <v>16</v>
      </c>
      <c r="F10">
        <v>0</v>
      </c>
      <c r="G10">
        <v>5</v>
      </c>
      <c r="H10" t="s">
        <v>76</v>
      </c>
      <c r="J10" t="s">
        <v>62</v>
      </c>
    </row>
    <row r="11" spans="1:12">
      <c r="B11" s="2" t="s">
        <v>25</v>
      </c>
      <c r="D11" s="1" t="s">
        <v>75</v>
      </c>
      <c r="E11">
        <f t="shared" si="0"/>
        <v>14</v>
      </c>
      <c r="F11">
        <v>0</v>
      </c>
      <c r="G11">
        <v>5</v>
      </c>
      <c r="J11" t="s">
        <v>63</v>
      </c>
    </row>
    <row r="12" spans="1:12">
      <c r="A12" s="2" t="s">
        <v>25</v>
      </c>
      <c r="B12" s="2" t="s">
        <v>18</v>
      </c>
      <c r="C12" s="2" t="s">
        <v>52</v>
      </c>
      <c r="D12" s="1" t="s">
        <v>36</v>
      </c>
      <c r="E12">
        <f t="shared" si="0"/>
        <v>2</v>
      </c>
      <c r="F12">
        <v>0</v>
      </c>
      <c r="G12">
        <v>5</v>
      </c>
      <c r="J12" t="s">
        <v>65</v>
      </c>
    </row>
    <row r="13" spans="1:12">
      <c r="C13" s="2" t="s">
        <v>53</v>
      </c>
      <c r="D13" s="1" t="s">
        <v>77</v>
      </c>
      <c r="E13">
        <f t="shared" si="0"/>
        <v>33</v>
      </c>
      <c r="F13">
        <v>0</v>
      </c>
      <c r="G13">
        <v>5</v>
      </c>
    </row>
    <row r="14" spans="1:12">
      <c r="B14" s="2" t="s">
        <v>24</v>
      </c>
      <c r="D14" s="1" t="s">
        <v>78</v>
      </c>
      <c r="E14">
        <f t="shared" si="0"/>
        <v>19</v>
      </c>
      <c r="F14">
        <v>5</v>
      </c>
      <c r="G14">
        <v>5</v>
      </c>
    </row>
    <row r="15" spans="1:12">
      <c r="B15" s="2" t="s">
        <v>25</v>
      </c>
      <c r="D15" s="1" t="s">
        <v>79</v>
      </c>
      <c r="E15">
        <f t="shared" si="0"/>
        <v>23</v>
      </c>
      <c r="F15">
        <v>2</v>
      </c>
      <c r="G15">
        <v>5</v>
      </c>
    </row>
    <row r="16" spans="1:12">
      <c r="E16" t="str">
        <f t="shared" si="0"/>
        <v/>
      </c>
    </row>
    <row r="17" spans="5:5">
      <c r="E17" t="str">
        <f t="shared" si="0"/>
        <v/>
      </c>
    </row>
    <row r="18" spans="5:5">
      <c r="E18" t="str">
        <f t="shared" si="0"/>
        <v/>
      </c>
    </row>
    <row r="19" spans="5:5">
      <c r="E19" t="str">
        <f t="shared" si="0"/>
        <v/>
      </c>
    </row>
    <row r="20" spans="5:5">
      <c r="E20" t="str">
        <f t="shared" si="0"/>
        <v/>
      </c>
    </row>
    <row r="21" spans="5:5">
      <c r="E21" t="str">
        <f t="shared" si="0"/>
        <v/>
      </c>
    </row>
    <row r="22" spans="5:5">
      <c r="E22" t="str">
        <f t="shared" si="0"/>
        <v/>
      </c>
    </row>
    <row r="23" spans="5:5">
      <c r="E23" t="str">
        <f t="shared" si="0"/>
        <v/>
      </c>
    </row>
    <row r="24" spans="5:5">
      <c r="E24" t="str">
        <f t="shared" si="0"/>
        <v/>
      </c>
    </row>
    <row r="25" spans="5:5">
      <c r="E25" t="str">
        <f t="shared" si="0"/>
        <v/>
      </c>
    </row>
    <row r="26" spans="5:5">
      <c r="E26" t="str">
        <f t="shared" si="0"/>
        <v/>
      </c>
    </row>
    <row r="27" spans="5:5">
      <c r="E27" t="str">
        <f t="shared" si="0"/>
        <v/>
      </c>
    </row>
    <row r="28" spans="5:5">
      <c r="E28" t="str">
        <f t="shared" si="0"/>
        <v/>
      </c>
    </row>
    <row r="29" spans="5:5">
      <c r="E29" t="str">
        <f t="shared" si="0"/>
        <v/>
      </c>
    </row>
    <row r="30" spans="5:5">
      <c r="E30" t="str">
        <f t="shared" si="0"/>
        <v/>
      </c>
    </row>
    <row r="31" spans="5:5">
      <c r="E31" t="str">
        <f t="shared" si="0"/>
        <v/>
      </c>
    </row>
    <row r="32" spans="5:5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レビュー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2026-01-18T06:26:39Z</dcterms:modified>
</cp:coreProperties>
</file>