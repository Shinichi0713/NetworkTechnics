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B205AA44-9543-4F3D-B820-EF46EBE50A1F}" xr6:coauthVersionLast="47" xr6:coauthVersionMax="47" xr10:uidLastSave="{00000000-0000-0000-0000-000000000000}"/>
  <bookViews>
    <workbookView xWindow="10545" yWindow="0" windowWidth="17070" windowHeight="15585" activeTab="10" xr2:uid="{00000000-000D-0000-FFFF-FFFF00000000}"/>
  </bookViews>
  <sheets>
    <sheet name="format" sheetId="6" r:id="rId1"/>
    <sheet name="レビュー" sheetId="2" r:id="rId2"/>
    <sheet name="1" sheetId="5" r:id="rId3"/>
    <sheet name="2" sheetId="4" r:id="rId4"/>
    <sheet name="3" sheetId="12" r:id="rId5"/>
    <sheet name="4" sheetId="8" r:id="rId6"/>
    <sheet name="5" sheetId="9" r:id="rId7"/>
    <sheet name="1_2" sheetId="10" r:id="rId8"/>
    <sheet name="2_2" sheetId="11" r:id="rId9"/>
    <sheet name="3_2" sheetId="7" r:id="rId10"/>
    <sheet name="4_2" sheetId="13" r:id="rId11"/>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7" i="13" l="1"/>
  <c r="E166" i="13"/>
  <c r="E165" i="13"/>
  <c r="E164" i="13"/>
  <c r="E163" i="13"/>
  <c r="E162" i="13"/>
  <c r="E161" i="13"/>
  <c r="E160" i="13"/>
  <c r="E159" i="13"/>
  <c r="E158" i="13"/>
  <c r="E157" i="13"/>
  <c r="E156" i="13"/>
  <c r="E155" i="13"/>
  <c r="E154" i="13"/>
  <c r="E153" i="13"/>
  <c r="E152" i="13"/>
  <c r="E151" i="13"/>
  <c r="E150" i="13"/>
  <c r="E149" i="13"/>
  <c r="E148" i="13"/>
  <c r="E147" i="13"/>
  <c r="E146" i="13"/>
  <c r="E145" i="13"/>
  <c r="E144" i="13"/>
  <c r="E143" i="13"/>
  <c r="E142" i="13"/>
  <c r="E141" i="13"/>
  <c r="E140" i="13"/>
  <c r="E139" i="13"/>
  <c r="E138" i="13"/>
  <c r="E137" i="13"/>
  <c r="E136" i="13"/>
  <c r="E135" i="13"/>
  <c r="E134" i="13"/>
  <c r="E133" i="13"/>
  <c r="E132" i="13"/>
  <c r="E131" i="13"/>
  <c r="E130" i="13"/>
  <c r="E129" i="13"/>
  <c r="E128" i="13"/>
  <c r="E127" i="13"/>
  <c r="E126" i="13"/>
  <c r="E125" i="13"/>
  <c r="E124" i="13"/>
  <c r="E123" i="13"/>
  <c r="E122" i="13"/>
  <c r="E121" i="13"/>
  <c r="E120" i="13"/>
  <c r="E119" i="13"/>
  <c r="E118" i="13"/>
  <c r="E117" i="13"/>
  <c r="E116" i="13"/>
  <c r="E115" i="13"/>
  <c r="E114" i="13"/>
  <c r="E113" i="13"/>
  <c r="E112" i="13"/>
  <c r="E111" i="13"/>
  <c r="E110" i="13"/>
  <c r="E109" i="13"/>
  <c r="E108" i="13"/>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E8" i="13"/>
  <c r="E7" i="13"/>
  <c r="E6" i="13"/>
  <c r="E5" i="13"/>
  <c r="E4" i="13"/>
  <c r="G2" i="13"/>
  <c r="F2" i="13"/>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2" i="12"/>
  <c r="E21" i="12"/>
  <c r="E20" i="12"/>
  <c r="E19" i="12"/>
  <c r="E18" i="12"/>
  <c r="E17" i="12"/>
  <c r="E16" i="12"/>
  <c r="E15" i="12"/>
  <c r="E14" i="12"/>
  <c r="E13" i="12"/>
  <c r="E12" i="12"/>
  <c r="E11" i="12"/>
  <c r="E10" i="12"/>
  <c r="E9" i="12"/>
  <c r="E8" i="12"/>
  <c r="E7" i="12"/>
  <c r="E6" i="12"/>
  <c r="E5" i="12"/>
  <c r="E4" i="12"/>
  <c r="G2" i="12"/>
  <c r="F2" i="12"/>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G2" i="9"/>
  <c r="F2" i="9"/>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G2" i="8"/>
  <c r="F2" i="8"/>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G2" i="7"/>
  <c r="F2" i="7"/>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G2" i="6"/>
  <c r="F2" i="6"/>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G2" i="5"/>
  <c r="F2" i="5"/>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G2" i="4"/>
  <c r="F2" i="4"/>
</calcChain>
</file>

<file path=xl/sharedStrings.xml><?xml version="1.0" encoding="utf-8"?>
<sst xmlns="http://schemas.openxmlformats.org/spreadsheetml/2006/main" count="544" uniqueCount="248">
  <si>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</si>
  <si>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</si>
  <si>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</si>
  <si>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</si>
  <si>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</si>
  <si>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</si>
  <si>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</si>
  <si>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</si>
  <si>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</si>
  <si>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</si>
  <si>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</si>
  <si>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</si>
  <si>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</si>
  <si>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10-1</t>
  </si>
  <si>
    <t>10-2</t>
  </si>
  <si>
    <t>10-1-rev</t>
  </si>
  <si>
    <t>10-2-rev</t>
  </si>
  <si>
    <t>重点対策</t>
    <rPh sb="0" eb="4">
      <t>ジュウテンタイサク</t>
    </rPh>
    <phoneticPr fontId="1"/>
  </si>
  <si>
    <t>1</t>
    <phoneticPr fontId="1"/>
  </si>
  <si>
    <t>K社は加工食品販売会社</t>
    <rPh sb="1" eb="2">
      <t>シャ</t>
    </rPh>
    <rPh sb="3" eb="7">
      <t>カコウショクヒン</t>
    </rPh>
    <rPh sb="7" eb="9">
      <t>ハンバイ</t>
    </rPh>
    <rPh sb="9" eb="11">
      <t>カイシャ</t>
    </rPh>
    <phoneticPr fontId="1"/>
  </si>
  <si>
    <t>販売間ンりシステムを更新する予定</t>
    <rPh sb="0" eb="3">
      <t>ハンバイカン</t>
    </rPh>
    <rPh sb="10" eb="12">
      <t>コウシン</t>
    </rPh>
    <rPh sb="14" eb="16">
      <t>ヨテイ</t>
    </rPh>
    <phoneticPr fontId="1"/>
  </si>
  <si>
    <t>L社クラウド</t>
    <rPh sb="1" eb="2">
      <t>シャ</t>
    </rPh>
    <phoneticPr fontId="1"/>
  </si>
  <si>
    <t>ア</t>
    <phoneticPr fontId="1"/>
  </si>
  <si>
    <t>イ</t>
    <phoneticPr fontId="1"/>
  </si>
  <si>
    <t>ウ</t>
    <phoneticPr fontId="1"/>
  </si>
  <si>
    <t>エ</t>
    <phoneticPr fontId="1"/>
  </si>
  <si>
    <t>オ</t>
    <phoneticPr fontId="1"/>
  </si>
  <si>
    <t>カ</t>
    <phoneticPr fontId="1"/>
  </si>
  <si>
    <t>2</t>
    <phoneticPr fontId="1"/>
  </si>
  <si>
    <t>3</t>
    <phoneticPr fontId="1"/>
  </si>
  <si>
    <t>4</t>
    <phoneticPr fontId="1"/>
  </si>
  <si>
    <t>NAPT</t>
    <phoneticPr fontId="1"/>
  </si>
  <si>
    <t>VPNルータ</t>
    <phoneticPr fontId="1"/>
  </si>
  <si>
    <t>事前共有鍵</t>
    <rPh sb="0" eb="5">
      <t>ジゼンキョウユウカギ</t>
    </rPh>
    <phoneticPr fontId="1"/>
  </si>
  <si>
    <t>暗号化対象の通信がグローバルIPアドレスの区間のため</t>
    <rPh sb="0" eb="3">
      <t>アンゴウカ</t>
    </rPh>
    <rPh sb="3" eb="5">
      <t>タイショウ</t>
    </rPh>
    <rPh sb="6" eb="8">
      <t>ツウシン</t>
    </rPh>
    <rPh sb="21" eb="23">
      <t>クカン</t>
    </rPh>
    <phoneticPr fontId="1"/>
  </si>
  <si>
    <t>フラグメントとリアセンブルの処理が発生する。</t>
    <rPh sb="14" eb="16">
      <t>ショリ</t>
    </rPh>
    <rPh sb="17" eb="19">
      <t>ハッセイ</t>
    </rPh>
    <phoneticPr fontId="1"/>
  </si>
  <si>
    <t>BGPにより回線断や機器障害を検知し、トラフィックを迂回できるため</t>
    <rPh sb="6" eb="9">
      <t>カイセンダン</t>
    </rPh>
    <rPh sb="10" eb="14">
      <t>キキショウガイ</t>
    </rPh>
    <rPh sb="15" eb="17">
      <t>ケンチ</t>
    </rPh>
    <rPh sb="26" eb="28">
      <t>ウカイ</t>
    </rPh>
    <phoneticPr fontId="1"/>
  </si>
  <si>
    <t>Helloパケットを出す必要がない</t>
    <rPh sb="10" eb="11">
      <t>ダ</t>
    </rPh>
    <rPh sb="12" eb="14">
      <t>ヒツヨウ</t>
    </rPh>
    <phoneticPr fontId="1"/>
  </si>
  <si>
    <t>AS</t>
    <phoneticPr fontId="1"/>
  </si>
  <si>
    <t>ICMP</t>
    <phoneticPr fontId="1"/>
  </si>
  <si>
    <t>大きく</t>
    <rPh sb="0" eb="1">
      <t>オオ</t>
    </rPh>
    <phoneticPr fontId="1"/>
  </si>
  <si>
    <t>eBGPからOSPFへ再配布された経路をeBGPへ再配布しない</t>
    <rPh sb="11" eb="14">
      <t>サイハイフ</t>
    </rPh>
    <rPh sb="17" eb="19">
      <t>ケイロ</t>
    </rPh>
    <rPh sb="25" eb="28">
      <t>サイハイフ</t>
    </rPh>
    <phoneticPr fontId="1"/>
  </si>
  <si>
    <t>ネットワークの冗長構成が失われたことを検出すいるため</t>
    <rPh sb="7" eb="11">
      <t>ジョウチョウコウセイ</t>
    </rPh>
    <rPh sb="12" eb="13">
      <t>ウシナ</t>
    </rPh>
    <rPh sb="19" eb="21">
      <t>ケンシュツ</t>
    </rPh>
    <phoneticPr fontId="1"/>
  </si>
  <si>
    <t>TCP</t>
    <phoneticPr fontId="1"/>
  </si>
  <si>
    <t>echo reply</t>
    <phoneticPr fontId="1"/>
  </si>
  <si>
    <t>社内ネットワーク</t>
    <rPh sb="0" eb="2">
      <t>シャナイ</t>
    </rPh>
    <phoneticPr fontId="1"/>
  </si>
  <si>
    <t>WANの見直し</t>
    <rPh sb="4" eb="6">
      <t>ミナオ</t>
    </rPh>
    <phoneticPr fontId="1"/>
  </si>
  <si>
    <t>コスト見直し</t>
    <rPh sb="3" eb="5">
      <t>ミナオ</t>
    </rPh>
    <phoneticPr fontId="1"/>
  </si>
  <si>
    <t>IP-VPNを利用</t>
    <rPh sb="7" eb="9">
      <t>リヨウ</t>
    </rPh>
    <phoneticPr fontId="1"/>
  </si>
  <si>
    <t>イーサネット回線</t>
    <rPh sb="6" eb="8">
      <t>カイセン</t>
    </rPh>
    <phoneticPr fontId="1"/>
  </si>
  <si>
    <t>IpsecのVPN</t>
    <phoneticPr fontId="1"/>
  </si>
  <si>
    <t>VPN専用の回線を解説しFW</t>
    <rPh sb="3" eb="5">
      <t>センヨウ</t>
    </rPh>
    <rPh sb="6" eb="8">
      <t>カイセン</t>
    </rPh>
    <rPh sb="9" eb="11">
      <t>カイセツ</t>
    </rPh>
    <phoneticPr fontId="1"/>
  </si>
  <si>
    <t>IP-VPNはIPネットワークをトラフィック交換に提供する</t>
    <rPh sb="22" eb="24">
      <t>コウカン</t>
    </rPh>
    <rPh sb="25" eb="27">
      <t>テイキョウ</t>
    </rPh>
    <phoneticPr fontId="1"/>
  </si>
  <si>
    <t>ラベル</t>
    <phoneticPr fontId="1"/>
  </si>
  <si>
    <t>PEルータ</t>
    <phoneticPr fontId="1"/>
  </si>
  <si>
    <t>ネットワーク</t>
    <phoneticPr fontId="1"/>
  </si>
  <si>
    <t>IP-VPN</t>
    <phoneticPr fontId="1"/>
  </si>
  <si>
    <t>Internet VPN</t>
    <phoneticPr fontId="1"/>
  </si>
  <si>
    <t>MPLS</t>
    <phoneticPr fontId="1"/>
  </si>
  <si>
    <t>利用者ごとのトラフィックを区別する</t>
    <rPh sb="0" eb="3">
      <t>リヨウシャ</t>
    </rPh>
    <rPh sb="13" eb="15">
      <t>クベツ</t>
    </rPh>
    <phoneticPr fontId="1"/>
  </si>
  <si>
    <t>OSPFのマルチキャスト通信を通すため</t>
    <rPh sb="12" eb="14">
      <t>ツウシン</t>
    </rPh>
    <rPh sb="15" eb="16">
      <t>トオ</t>
    </rPh>
    <phoneticPr fontId="1"/>
  </si>
  <si>
    <t>他の拠点への経路情報</t>
    <rPh sb="0" eb="1">
      <t>ホカ</t>
    </rPh>
    <rPh sb="2" eb="4">
      <t>キョテン</t>
    </rPh>
    <rPh sb="6" eb="10">
      <t>ケイロジョウホウ</t>
    </rPh>
    <phoneticPr fontId="1"/>
  </si>
  <si>
    <t>IP-VPNを優先するようBGP4の経路情報を優先する</t>
    <rPh sb="7" eb="9">
      <t>ユウセン</t>
    </rPh>
    <rPh sb="18" eb="20">
      <t>ケイロ</t>
    </rPh>
    <rPh sb="20" eb="22">
      <t>ジョウホウ</t>
    </rPh>
    <rPh sb="23" eb="25">
      <t>ユウセン</t>
    </rPh>
    <phoneticPr fontId="1"/>
  </si>
  <si>
    <t>新拠点追加時に全拠点の設定変更が必要となるため</t>
    <rPh sb="0" eb="3">
      <t>シンキョテン</t>
    </rPh>
    <rPh sb="3" eb="5">
      <t>ツイカ</t>
    </rPh>
    <rPh sb="5" eb="6">
      <t>ジ</t>
    </rPh>
    <rPh sb="7" eb="10">
      <t>ゼンキョテン</t>
    </rPh>
    <rPh sb="11" eb="13">
      <t>セッテイ</t>
    </rPh>
    <rPh sb="13" eb="15">
      <t>ヘンコウ</t>
    </rPh>
    <rPh sb="16" eb="18">
      <t>ヒツヨウ</t>
    </rPh>
    <phoneticPr fontId="1"/>
  </si>
  <si>
    <t>大阪のFW2のグローバルIPアドレス</t>
    <rPh sb="0" eb="2">
      <t>オオサカ</t>
    </rPh>
    <phoneticPr fontId="1"/>
  </si>
  <si>
    <t>FW2, FW3</t>
    <phoneticPr fontId="1"/>
  </si>
  <si>
    <t>OSPFのPRを0に設定する</t>
    <rPh sb="10" eb="12">
      <t>セッテイ</t>
    </rPh>
    <phoneticPr fontId="1"/>
  </si>
  <si>
    <t>a</t>
    <phoneticPr fontId="1"/>
  </si>
  <si>
    <t>b</t>
    <phoneticPr fontId="1"/>
  </si>
  <si>
    <t>c</t>
    <phoneticPr fontId="1"/>
  </si>
  <si>
    <t>5</t>
    <phoneticPr fontId="1"/>
  </si>
  <si>
    <t>6</t>
    <phoneticPr fontId="1"/>
  </si>
  <si>
    <t>zはデータセンタ</t>
    <phoneticPr fontId="1"/>
  </si>
  <si>
    <t>データセンタビル</t>
    <phoneticPr fontId="1"/>
  </si>
  <si>
    <t>複数フロアに所有</t>
    <rPh sb="0" eb="2">
      <t>フクスウ</t>
    </rPh>
    <rPh sb="6" eb="8">
      <t>ショユウ</t>
    </rPh>
    <phoneticPr fontId="1"/>
  </si>
  <si>
    <t>DCの改修</t>
    <rPh sb="3" eb="5">
      <t>カイシュウ</t>
    </rPh>
    <phoneticPr fontId="1"/>
  </si>
  <si>
    <t>ZDCは冗長性確保のためISPと◎チーム接続</t>
    <rPh sb="4" eb="7">
      <t>ジョウチョウセイ</t>
    </rPh>
    <rPh sb="7" eb="9">
      <t>カクホ</t>
    </rPh>
    <rPh sb="20" eb="22">
      <t>セツゾク</t>
    </rPh>
    <phoneticPr fontId="1"/>
  </si>
  <si>
    <t>ISPとDCは異なるASで接続</t>
    <rPh sb="7" eb="8">
      <t>コト</t>
    </rPh>
    <rPh sb="13" eb="15">
      <t>セツゾク</t>
    </rPh>
    <phoneticPr fontId="1"/>
  </si>
  <si>
    <t>ルータとの上長接続</t>
    <rPh sb="5" eb="7">
      <t>ジョウチョウ</t>
    </rPh>
    <rPh sb="7" eb="9">
      <t>セツゾク</t>
    </rPh>
    <phoneticPr fontId="1"/>
  </si>
  <si>
    <t xml:space="preserve">sinnsetu </t>
    <phoneticPr fontId="1"/>
  </si>
  <si>
    <t>L2SW</t>
    <phoneticPr fontId="1"/>
  </si>
  <si>
    <t>ni</t>
    <phoneticPr fontId="1"/>
  </si>
  <si>
    <t xml:space="preserve">shuuyou </t>
    <phoneticPr fontId="1"/>
  </si>
  <si>
    <t>d</t>
    <phoneticPr fontId="1"/>
  </si>
  <si>
    <t>e</t>
    <phoneticPr fontId="1"/>
  </si>
  <si>
    <t>f</t>
    <phoneticPr fontId="1"/>
  </si>
  <si>
    <t>g</t>
    <phoneticPr fontId="1"/>
  </si>
  <si>
    <t>設定</t>
    <rPh sb="0" eb="2">
      <t>セッテイ</t>
    </rPh>
    <phoneticPr fontId="1"/>
  </si>
  <si>
    <t>機器</t>
    <rPh sb="0" eb="2">
      <t>キキ</t>
    </rPh>
    <phoneticPr fontId="1"/>
  </si>
  <si>
    <t>D社は中堅商社</t>
    <rPh sb="1" eb="2">
      <t>シャ</t>
    </rPh>
    <rPh sb="3" eb="5">
      <t>チュウケン</t>
    </rPh>
    <rPh sb="5" eb="7">
      <t>ショウシャ</t>
    </rPh>
    <phoneticPr fontId="1"/>
  </si>
  <si>
    <t>社内システムはWEBシステム</t>
    <rPh sb="0" eb="2">
      <t>シャナイ</t>
    </rPh>
    <phoneticPr fontId="1"/>
  </si>
  <si>
    <t>仮想サーバでシステムとして構築</t>
    <rPh sb="0" eb="2">
      <t>カソウ</t>
    </rPh>
    <rPh sb="13" eb="15">
      <t>コウチク</t>
    </rPh>
    <phoneticPr fontId="1"/>
  </si>
  <si>
    <t>Inet経由で利用されてる</t>
    <rPh sb="4" eb="6">
      <t>ケイユ</t>
    </rPh>
    <rPh sb="7" eb="9">
      <t>リヨウ</t>
    </rPh>
    <phoneticPr fontId="1"/>
  </si>
  <si>
    <t>ネットワーク統合</t>
    <rPh sb="6" eb="8">
      <t>トウゴウ</t>
    </rPh>
    <phoneticPr fontId="1"/>
  </si>
  <si>
    <t>GVPNのVSVでアクセス</t>
    <phoneticPr fontId="1"/>
  </si>
  <si>
    <t>広域イーサネットサービスで接続</t>
    <rPh sb="0" eb="2">
      <t>コウイキ</t>
    </rPh>
    <rPh sb="13" eb="15">
      <t>セツゾク</t>
    </rPh>
    <phoneticPr fontId="1"/>
  </si>
  <si>
    <t>FWのNAPT機能を利用してアクセス</t>
    <rPh sb="7" eb="9">
      <t>キノウ</t>
    </rPh>
    <rPh sb="10" eb="12">
      <t>リヨウ</t>
    </rPh>
    <phoneticPr fontId="1"/>
  </si>
  <si>
    <t>VPN GW</t>
    <phoneticPr fontId="1"/>
  </si>
  <si>
    <t>Ipsecトンネル経由でアクセス</t>
    <rPh sb="9" eb="11">
      <t>ケイユ</t>
    </rPh>
    <phoneticPr fontId="1"/>
  </si>
  <si>
    <t>OSPFを利用して社内経路制御</t>
    <rPh sb="5" eb="7">
      <t>リヨウ</t>
    </rPh>
    <rPh sb="9" eb="11">
      <t>シャナイ</t>
    </rPh>
    <rPh sb="11" eb="13">
      <t>ケイロ</t>
    </rPh>
    <rPh sb="13" eb="15">
      <t>セイギョ</t>
    </rPh>
    <phoneticPr fontId="1"/>
  </si>
  <si>
    <t>L3SWとFWに適用</t>
    <rPh sb="8" eb="10">
      <t>テキヨウ</t>
    </rPh>
    <phoneticPr fontId="1"/>
  </si>
  <si>
    <t>広域イーサネットのOSPFエリアは1</t>
    <rPh sb="0" eb="2">
      <t>コウイキ</t>
    </rPh>
    <phoneticPr fontId="1"/>
  </si>
  <si>
    <t>OSPFniyoru</t>
    <phoneticPr fontId="1"/>
  </si>
  <si>
    <t>VPC GWはポータルサイトより</t>
    <phoneticPr fontId="1"/>
  </si>
  <si>
    <t>共有鍵</t>
    <rPh sb="0" eb="3">
      <t>キョウユウカギ</t>
    </rPh>
    <phoneticPr fontId="1"/>
  </si>
  <si>
    <t>リンクステートアドバタイズメント</t>
    <phoneticPr fontId="1"/>
  </si>
  <si>
    <t>ルータ</t>
    <phoneticPr fontId="1"/>
  </si>
  <si>
    <t>コスト</t>
    <phoneticPr fontId="1"/>
  </si>
  <si>
    <t>ダイアゴナル</t>
    <phoneticPr fontId="1"/>
  </si>
  <si>
    <t>172.16.0.0</t>
    <phoneticPr fontId="1"/>
  </si>
  <si>
    <t>OSPFへのデフォルトルートをD社内にあるOSPFルータに対して再販不することが必要となる</t>
    <rPh sb="16" eb="18">
      <t>シャナイ</t>
    </rPh>
    <rPh sb="29" eb="30">
      <t>タイ</t>
    </rPh>
    <rPh sb="32" eb="35">
      <t>サイハンフ</t>
    </rPh>
    <rPh sb="40" eb="42">
      <t>ヒツヨウ</t>
    </rPh>
    <phoneticPr fontId="1"/>
  </si>
  <si>
    <t>ルーティングテーブルサイズを圧縮するため</t>
    <rPh sb="14" eb="16">
      <t>アッシュク</t>
    </rPh>
    <phoneticPr fontId="1"/>
  </si>
  <si>
    <t>ループが生じある可能性がある</t>
    <rPh sb="4" eb="5">
      <t>ショウ</t>
    </rPh>
    <rPh sb="8" eb="11">
      <t>カノウセイ</t>
    </rPh>
    <phoneticPr fontId="1"/>
  </si>
  <si>
    <t>ルータとFW</t>
    <phoneticPr fontId="1"/>
  </si>
  <si>
    <t>172.16.0.0/16</t>
    <phoneticPr fontId="1"/>
  </si>
  <si>
    <t>現行ネットワーク統合う</t>
    <rPh sb="0" eb="2">
      <t>ゲンコウ</t>
    </rPh>
    <rPh sb="8" eb="10">
      <t>トウゴウ</t>
    </rPh>
    <phoneticPr fontId="1"/>
  </si>
  <si>
    <t>VPC内部の仮想サーバで</t>
    <rPh sb="3" eb="5">
      <t>ナイブ</t>
    </rPh>
    <rPh sb="6" eb="8">
      <t>カソウ</t>
    </rPh>
    <phoneticPr fontId="1"/>
  </si>
  <si>
    <t>VPN経由でアクセスしている</t>
    <rPh sb="3" eb="5">
      <t>ケイユ</t>
    </rPh>
    <phoneticPr fontId="1"/>
  </si>
  <si>
    <t>hijkl</t>
    <phoneticPr fontId="1"/>
  </si>
  <si>
    <t>L3SW6</t>
    <phoneticPr fontId="1"/>
  </si>
  <si>
    <t>フロア間OSPF追加設定を行う</t>
    <rPh sb="3" eb="4">
      <t>カン</t>
    </rPh>
    <rPh sb="8" eb="10">
      <t>ツイカ</t>
    </rPh>
    <rPh sb="10" eb="12">
      <t>セッテイ</t>
    </rPh>
    <rPh sb="13" eb="14">
      <t>オコナ</t>
    </rPh>
    <phoneticPr fontId="1"/>
  </si>
  <si>
    <t>フロアの追加設定</t>
    <rPh sb="4" eb="6">
      <t>ツイカ</t>
    </rPh>
    <rPh sb="6" eb="8">
      <t>セッテイ</t>
    </rPh>
    <phoneticPr fontId="1"/>
  </si>
  <si>
    <t>両方アさせてフロア０</t>
    <rPh sb="0" eb="2">
      <t>リョウホウ</t>
    </rPh>
    <phoneticPr fontId="1"/>
  </si>
  <si>
    <t>L3SW1</t>
    <phoneticPr fontId="1"/>
  </si>
  <si>
    <t>OSPFエリア１の支社経路を集約する</t>
    <rPh sb="9" eb="11">
      <t>シシャ</t>
    </rPh>
    <rPh sb="11" eb="13">
      <t>ケイロ</t>
    </rPh>
    <rPh sb="14" eb="16">
      <t>シュウヤク</t>
    </rPh>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</si>
  <si>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</si>
  <si>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</si>
  <si>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</si>
  <si>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</si>
  <si>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</si>
  <si>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</si>
  <si>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</si>
  <si>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</si>
  <si>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</si>
  <si>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</si>
  <si>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</si>
  <si>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</si>
  <si>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</si>
  <si>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</si>
  <si>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</si>
  <si>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</si>
  <si>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</si>
  <si>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Aしゃ情報システム</t>
    <rPh sb="3" eb="5">
      <t>ジョウホウ</t>
    </rPh>
    <phoneticPr fontId="1"/>
  </si>
  <si>
    <t>拠点の生産機械</t>
    <rPh sb="0" eb="2">
      <t>キョテン</t>
    </rPh>
    <rPh sb="3" eb="7">
      <t>セイサンキカイ</t>
    </rPh>
    <phoneticPr fontId="1"/>
  </si>
  <si>
    <t>情報システムシステムを騎亜初</t>
    <rPh sb="0" eb="2">
      <t>ジョウホウ</t>
    </rPh>
    <rPh sb="11" eb="14">
      <t>キアハツ</t>
    </rPh>
    <phoneticPr fontId="1"/>
  </si>
  <si>
    <t>NW拡張</t>
    <rPh sb="2" eb="4">
      <t>カクチョウ</t>
    </rPh>
    <phoneticPr fontId="1"/>
  </si>
  <si>
    <t>SDN</t>
    <phoneticPr fontId="1"/>
  </si>
  <si>
    <t>SDN技術を用いて向上LANの柔軟性向上</t>
    <rPh sb="3" eb="5">
      <t>ギジュツ</t>
    </rPh>
    <rPh sb="6" eb="7">
      <t>モチ</t>
    </rPh>
    <rPh sb="9" eb="11">
      <t>コウジョウ</t>
    </rPh>
    <rPh sb="15" eb="18">
      <t>ジュウナンセイ</t>
    </rPh>
    <rPh sb="18" eb="20">
      <t>コウジョウ</t>
    </rPh>
    <phoneticPr fontId="1"/>
  </si>
  <si>
    <t>クラウドサービスの利用拡大</t>
    <rPh sb="9" eb="13">
      <t>リヨウカクダイ</t>
    </rPh>
    <phoneticPr fontId="1"/>
  </si>
  <si>
    <t>ファームの一斉更新などの運用を行う</t>
    <rPh sb="5" eb="7">
      <t>イッセイ</t>
    </rPh>
    <rPh sb="7" eb="9">
      <t>コウシン</t>
    </rPh>
    <rPh sb="12" eb="14">
      <t>ウンヨウ</t>
    </rPh>
    <rPh sb="15" eb="16">
      <t>オコナ</t>
    </rPh>
    <phoneticPr fontId="1"/>
  </si>
  <si>
    <t>web-Aへのアクセス</t>
    <phoneticPr fontId="1"/>
  </si>
  <si>
    <t>プライベートアドレスが割り当て</t>
    <rPh sb="11" eb="12">
      <t>ワ</t>
    </rPh>
    <rPh sb="13" eb="14">
      <t>ア</t>
    </rPh>
    <phoneticPr fontId="1"/>
  </si>
  <si>
    <t>i1</t>
    <phoneticPr fontId="1"/>
  </si>
  <si>
    <t>NAT</t>
    <phoneticPr fontId="1"/>
  </si>
  <si>
    <t>i3</t>
    <phoneticPr fontId="1"/>
  </si>
  <si>
    <t>情報システムのNW拡張プロジェクト</t>
    <rPh sb="0" eb="2">
      <t>ジョウホウ</t>
    </rPh>
    <rPh sb="9" eb="11">
      <t>カクチョウ</t>
    </rPh>
    <phoneticPr fontId="1"/>
  </si>
  <si>
    <t>新工場LANの提案と構築を委託</t>
    <rPh sb="0" eb="3">
      <t>シンコウジョウ</t>
    </rPh>
    <rPh sb="7" eb="9">
      <t>テイアン</t>
    </rPh>
    <rPh sb="10" eb="12">
      <t>コウチク</t>
    </rPh>
    <rPh sb="13" eb="15">
      <t>イタク</t>
    </rPh>
    <phoneticPr fontId="1"/>
  </si>
  <si>
    <t>LBは稼働をチェックして振り分ける</t>
    <rPh sb="3" eb="5">
      <t>カドウ</t>
    </rPh>
    <rPh sb="12" eb="13">
      <t>フ</t>
    </rPh>
    <rPh sb="14" eb="15">
      <t>ワ</t>
    </rPh>
    <phoneticPr fontId="1"/>
  </si>
  <si>
    <t>待ち工場法</t>
    <rPh sb="0" eb="1">
      <t>マ</t>
    </rPh>
    <rPh sb="2" eb="5">
      <t>コウジョウホウ</t>
    </rPh>
    <phoneticPr fontId="1"/>
  </si>
  <si>
    <t>ベンダに委託</t>
    <rPh sb="4" eb="6">
      <t>イタク</t>
    </rPh>
    <phoneticPr fontId="1"/>
  </si>
  <si>
    <t>自社要因が担当</t>
    <rPh sb="0" eb="2">
      <t>ジシャ</t>
    </rPh>
    <rPh sb="2" eb="4">
      <t>ヨウイン</t>
    </rPh>
    <rPh sb="5" eb="7">
      <t>タントウ</t>
    </rPh>
    <phoneticPr fontId="1"/>
  </si>
  <si>
    <t>情報システム準備作業</t>
    <rPh sb="0" eb="2">
      <t>ジョウホウ</t>
    </rPh>
    <rPh sb="6" eb="8">
      <t>ジュンビ</t>
    </rPh>
    <rPh sb="8" eb="10">
      <t>サギョウ</t>
    </rPh>
    <phoneticPr fontId="1"/>
  </si>
  <si>
    <t>SDN技術の調査</t>
    <rPh sb="3" eb="5">
      <t>ギジュツ</t>
    </rPh>
    <rPh sb="6" eb="8">
      <t>チョウサ</t>
    </rPh>
    <phoneticPr fontId="1"/>
  </si>
  <si>
    <t>OFC</t>
    <phoneticPr fontId="1"/>
  </si>
  <si>
    <t>OFS</t>
    <phoneticPr fontId="1"/>
  </si>
  <si>
    <t>Pcaket-IN</t>
    <phoneticPr fontId="1"/>
  </si>
  <si>
    <t>Packet-Out</t>
    <phoneticPr fontId="1"/>
  </si>
  <si>
    <t>Flow-Mod</t>
    <phoneticPr fontId="1"/>
  </si>
  <si>
    <t>LLDP</t>
    <phoneticPr fontId="1"/>
  </si>
  <si>
    <t>controller</t>
    <phoneticPr fontId="1"/>
  </si>
  <si>
    <t>OFS2</t>
    <phoneticPr fontId="1"/>
  </si>
  <si>
    <t>p9</t>
    <phoneticPr fontId="1"/>
  </si>
  <si>
    <t>新工場LAN</t>
    <rPh sb="0" eb="3">
      <t>シンコウジョウ</t>
    </rPh>
    <phoneticPr fontId="1"/>
  </si>
  <si>
    <t>トランク接続</t>
    <rPh sb="4" eb="6">
      <t>セツゾク</t>
    </rPh>
    <phoneticPr fontId="1"/>
  </si>
  <si>
    <t>仮想NW</t>
    <rPh sb="0" eb="2">
      <t>カソウ</t>
    </rPh>
    <phoneticPr fontId="1"/>
  </si>
  <si>
    <t>m2</t>
    <phoneticPr fontId="1"/>
  </si>
  <si>
    <t>v2</t>
    <phoneticPr fontId="1"/>
  </si>
  <si>
    <t>なし</t>
    <phoneticPr fontId="1"/>
  </si>
  <si>
    <t>m3</t>
    <phoneticPr fontId="1"/>
  </si>
  <si>
    <t>i4</t>
    <phoneticPr fontId="1"/>
  </si>
  <si>
    <t>8,2,9,10,12,</t>
    <phoneticPr fontId="1"/>
  </si>
  <si>
    <t>ETH_TYPPEがARPのイーサネットタイプに等しい</t>
    <rPh sb="24" eb="25">
      <t>ヒト</t>
    </rPh>
    <phoneticPr fontId="1"/>
  </si>
  <si>
    <t>外部NWにあるRT1から真FWに対してパケットを送出。P7から入力されたARPを変更後RT-1に出力する動作を占めs</t>
    <rPh sb="0" eb="2">
      <t>ガイブ</t>
    </rPh>
    <rPh sb="12" eb="13">
      <t>シン</t>
    </rPh>
    <rPh sb="16" eb="17">
      <t>タイ</t>
    </rPh>
    <rPh sb="24" eb="26">
      <t>ソウシュツ</t>
    </rPh>
    <rPh sb="31" eb="33">
      <t>ニュウリョク</t>
    </rPh>
    <rPh sb="40" eb="42">
      <t>ヘンコウ</t>
    </rPh>
    <rPh sb="42" eb="43">
      <t>アト</t>
    </rPh>
    <rPh sb="48" eb="50">
      <t>シュツリョク</t>
    </rPh>
    <rPh sb="52" eb="54">
      <t>ドウサ</t>
    </rPh>
    <rPh sb="55" eb="56">
      <t>シ</t>
    </rPh>
    <phoneticPr fontId="1"/>
  </si>
  <si>
    <t>p1</t>
    <phoneticPr fontId="1"/>
  </si>
  <si>
    <t>m1</t>
    <phoneticPr fontId="1"/>
  </si>
  <si>
    <t>push-VLAN</t>
    <phoneticPr fontId="1"/>
  </si>
  <si>
    <t>Set-Fileld VLAN-VID = v2</t>
    <phoneticPr fontId="1"/>
  </si>
  <si>
    <t>Output(p7)</t>
    <phoneticPr fontId="1"/>
  </si>
  <si>
    <t>いくつかあるシステムのうち半版管理すステムを公開する</t>
    <rPh sb="13" eb="15">
      <t>ハンバン</t>
    </rPh>
    <rPh sb="15" eb="17">
      <t>カンリ</t>
    </rPh>
    <rPh sb="22" eb="24">
      <t>コウカイ</t>
    </rPh>
    <phoneticPr fontId="1"/>
  </si>
  <si>
    <t>販売管理システムは在庫管理や販売に利用される</t>
    <rPh sb="0" eb="2">
      <t>ハンバイ</t>
    </rPh>
    <rPh sb="2" eb="4">
      <t>カンリ</t>
    </rPh>
    <rPh sb="9" eb="13">
      <t>ザイコカンリ</t>
    </rPh>
    <rPh sb="14" eb="16">
      <t>ハンバイ</t>
    </rPh>
    <rPh sb="17" eb="19">
      <t>リヨウ</t>
    </rPh>
    <phoneticPr fontId="1"/>
  </si>
  <si>
    <t>L社が提供するクラウドサービスを仕様する案</t>
    <rPh sb="1" eb="2">
      <t>シャ</t>
    </rPh>
    <rPh sb="3" eb="5">
      <t>テイキョウ</t>
    </rPh>
    <rPh sb="16" eb="18">
      <t>シヨウ</t>
    </rPh>
    <rPh sb="20" eb="21">
      <t>アン</t>
    </rPh>
    <phoneticPr fontId="1"/>
  </si>
  <si>
    <t>L食らうs度サービスを利用する</t>
    <rPh sb="1" eb="2">
      <t>ク</t>
    </rPh>
    <rPh sb="5" eb="6">
      <t>ド</t>
    </rPh>
    <rPh sb="11" eb="13">
      <t>リヨウ</t>
    </rPh>
    <phoneticPr fontId="1"/>
  </si>
  <si>
    <t>ネットワーク接続を検討する</t>
    <rPh sb="6" eb="8">
      <t>セツゾク</t>
    </rPh>
    <rPh sb="9" eb="11">
      <t>ケントウ</t>
    </rPh>
    <phoneticPr fontId="1"/>
  </si>
  <si>
    <t>DBVPNで接続</t>
    <rPh sb="6" eb="8">
      <t>セツゾク</t>
    </rPh>
    <phoneticPr fontId="1"/>
  </si>
  <si>
    <t>VPNルータを設置</t>
    <rPh sb="7" eb="9">
      <t>セッチ</t>
    </rPh>
    <phoneticPr fontId="1"/>
  </si>
  <si>
    <t>OSPFで経路情報の交換</t>
    <rPh sb="5" eb="9">
      <t>ケイロジョウホウ</t>
    </rPh>
    <rPh sb="10" eb="12">
      <t>コウカン</t>
    </rPh>
    <phoneticPr fontId="1"/>
  </si>
  <si>
    <t>L社クラウドサービスではDBを構築し</t>
    <rPh sb="1" eb="2">
      <t>シャ</t>
    </rPh>
    <rPh sb="15" eb="17">
      <t>コウチク</t>
    </rPh>
    <phoneticPr fontId="1"/>
  </si>
  <si>
    <t>a1をアクティブ、b1をスタンバイ</t>
    <phoneticPr fontId="1"/>
  </si>
  <si>
    <t>高く</t>
    <rPh sb="0" eb="1">
      <t>タカ</t>
    </rPh>
    <phoneticPr fontId="1"/>
  </si>
  <si>
    <t>K社NWのPCとサーバはプライベートIPアドレスをそのまま利用して通信しているため</t>
    <rPh sb="1" eb="2">
      <t>シャ</t>
    </rPh>
    <rPh sb="29" eb="31">
      <t>リヨウ</t>
    </rPh>
    <rPh sb="33" eb="35">
      <t>ツウシン</t>
    </rPh>
    <phoneticPr fontId="1"/>
  </si>
  <si>
    <t>BGPの動的経路と性的経路</t>
    <rPh sb="4" eb="8">
      <t>ドウテキケイロ</t>
    </rPh>
    <rPh sb="9" eb="13">
      <t>セイテキケイロ</t>
    </rPh>
    <phoneticPr fontId="1"/>
  </si>
  <si>
    <t>BGPにより回線に障害が起きてもトラフィックを迂回させることが出来るため</t>
    <rPh sb="6" eb="8">
      <t>カイセン</t>
    </rPh>
    <rPh sb="9" eb="11">
      <t>ショウガイ</t>
    </rPh>
    <rPh sb="12" eb="13">
      <t>オ</t>
    </rPh>
    <rPh sb="23" eb="25">
      <t>ウカイ</t>
    </rPh>
    <rPh sb="31" eb="33">
      <t>デキ</t>
    </rPh>
    <phoneticPr fontId="1"/>
  </si>
  <si>
    <t>経路情報の交換を行わない</t>
    <rPh sb="0" eb="2">
      <t>ケイロ</t>
    </rPh>
    <rPh sb="2" eb="4">
      <t>ジョウホウ</t>
    </rPh>
    <rPh sb="5" eb="7">
      <t>コウカン</t>
    </rPh>
    <rPh sb="8" eb="9">
      <t>オコナ</t>
    </rPh>
    <phoneticPr fontId="1"/>
  </si>
  <si>
    <t>えBGPからOSPFへ再頒布された経路を再びeBGPへ再配布しない</t>
    <rPh sb="11" eb="14">
      <t>サイハンプ</t>
    </rPh>
    <rPh sb="17" eb="19">
      <t>ケイロ</t>
    </rPh>
    <rPh sb="20" eb="21">
      <t>フタタ</t>
    </rPh>
    <rPh sb="27" eb="30">
      <t>サイハイフ</t>
    </rPh>
    <phoneticPr fontId="1"/>
  </si>
  <si>
    <t>ネットワーク接続の上長構成が失われたことを検出するため</t>
    <rPh sb="6" eb="8">
      <t>セツゾク</t>
    </rPh>
    <rPh sb="9" eb="11">
      <t>ジョウチョウ</t>
    </rPh>
    <rPh sb="11" eb="13">
      <t>コウセイ</t>
    </rPh>
    <rPh sb="14" eb="15">
      <t>ウシナ</t>
    </rPh>
    <rPh sb="21" eb="23">
      <t>ケンシュツ</t>
    </rPh>
    <phoneticPr fontId="1"/>
  </si>
  <si>
    <t>D社はおふぃsを持つ種パン会社。</t>
    <rPh sb="1" eb="2">
      <t>シャ</t>
    </rPh>
    <rPh sb="8" eb="9">
      <t>モ</t>
    </rPh>
    <rPh sb="10" eb="11">
      <t>シュ</t>
    </rPh>
    <rPh sb="13" eb="15">
      <t>カイシャ</t>
    </rPh>
    <phoneticPr fontId="1"/>
  </si>
  <si>
    <t>WAN＋LANで構成される。</t>
    <rPh sb="8" eb="10">
      <t>コウセイ</t>
    </rPh>
    <phoneticPr fontId="1"/>
  </si>
  <si>
    <t>WAN構成の見直し方</t>
    <rPh sb="3" eb="5">
      <t>コウセイ</t>
    </rPh>
    <rPh sb="6" eb="8">
      <t>ミナオ</t>
    </rPh>
    <rPh sb="9" eb="10">
      <t>カタ</t>
    </rPh>
    <phoneticPr fontId="1"/>
  </si>
  <si>
    <t>VPNで接続</t>
    <rPh sb="4" eb="6">
      <t>セツゾク</t>
    </rPh>
    <phoneticPr fontId="1"/>
  </si>
  <si>
    <t>IP-VPNへのアクセス</t>
    <phoneticPr fontId="1"/>
  </si>
  <si>
    <t>イーさえっと回線サービスを利用する</t>
    <rPh sb="6" eb="8">
      <t>カイセン</t>
    </rPh>
    <rPh sb="13" eb="15">
      <t>リヨウ</t>
    </rPh>
    <phoneticPr fontId="1"/>
  </si>
  <si>
    <t>インターネット</t>
    <phoneticPr fontId="1"/>
  </si>
  <si>
    <t>利用者ごとのトラフィックを区別するため</t>
    <rPh sb="0" eb="3">
      <t>リヨウシャ</t>
    </rPh>
    <rPh sb="13" eb="15">
      <t>クベツ</t>
    </rPh>
    <phoneticPr fontId="1"/>
  </si>
  <si>
    <t>上長かルーティング</t>
    <rPh sb="0" eb="2">
      <t>ジョウチョウ</t>
    </rPh>
    <phoneticPr fontId="1"/>
  </si>
  <si>
    <t>マルチキャストを行うため</t>
    <rPh sb="8" eb="9">
      <t>オコナ</t>
    </rPh>
    <phoneticPr fontId="1"/>
  </si>
  <si>
    <t>他の拠点への経路情報</t>
    <rPh sb="0" eb="1">
      <t>ホカ</t>
    </rPh>
    <rPh sb="2" eb="4">
      <t>キョテン</t>
    </rPh>
    <rPh sb="6" eb="8">
      <t>ケイロ</t>
    </rPh>
    <rPh sb="8" eb="10">
      <t>ジョウホウ</t>
    </rPh>
    <phoneticPr fontId="1"/>
  </si>
  <si>
    <t>IP-VPMをおこなうならばBGPを利用する</t>
    <rPh sb="18" eb="20">
      <t>リヨウ</t>
    </rPh>
    <phoneticPr fontId="1"/>
  </si>
  <si>
    <t>BGP-4の経路情報を優先する</t>
    <rPh sb="6" eb="10">
      <t>ケイロジョウホウ</t>
    </rPh>
    <rPh sb="11" eb="13">
      <t>ユウセン</t>
    </rPh>
    <phoneticPr fontId="1"/>
  </si>
  <si>
    <t>拠点追加の時に全拠点の設定変更が必要となるから。</t>
    <rPh sb="0" eb="2">
      <t>キョテン</t>
    </rPh>
    <rPh sb="2" eb="4">
      <t>ツイカ</t>
    </rPh>
    <rPh sb="5" eb="6">
      <t>トキ</t>
    </rPh>
    <rPh sb="7" eb="10">
      <t>ゼンキョテン</t>
    </rPh>
    <rPh sb="11" eb="13">
      <t>セッテイ</t>
    </rPh>
    <rPh sb="13" eb="15">
      <t>ヘンコウ</t>
    </rPh>
    <rPh sb="16" eb="18">
      <t>ヒツヨウ</t>
    </rPh>
    <phoneticPr fontId="1"/>
  </si>
  <si>
    <t>ネットワークベンダ</t>
    <phoneticPr fontId="1"/>
  </si>
  <si>
    <t>自動トンネル機能を活用した方式</t>
    <rPh sb="0" eb="2">
      <t>ジドウ</t>
    </rPh>
    <rPh sb="6" eb="8">
      <t>キノウ</t>
    </rPh>
    <rPh sb="9" eb="11">
      <t>カツヨウ</t>
    </rPh>
    <rPh sb="13" eb="15">
      <t>ホウシキ</t>
    </rPh>
    <phoneticPr fontId="1"/>
  </si>
  <si>
    <t>拠点のIPアドレス</t>
    <rPh sb="0" eb="2">
      <t>キョテン</t>
    </rPh>
    <phoneticPr fontId="1"/>
  </si>
  <si>
    <t>FW2、F"3</t>
    <phoneticPr fontId="1"/>
  </si>
  <si>
    <t>OSPFのプライオリティ値を0に設定する</t>
    <rPh sb="12" eb="13">
      <t>アタイ</t>
    </rPh>
    <rPh sb="16" eb="18">
      <t>セッテイ</t>
    </rPh>
    <phoneticPr fontId="1"/>
  </si>
  <si>
    <t>小規模なデータセンタ事業者</t>
    <rPh sb="0" eb="3">
      <t>ショウキボ</t>
    </rPh>
    <rPh sb="10" eb="13">
      <t>ジギョウシャ</t>
    </rPh>
    <phoneticPr fontId="1"/>
  </si>
  <si>
    <t>フロアにネットワーク設備を所有</t>
    <rPh sb="10" eb="12">
      <t>セツビ</t>
    </rPh>
    <rPh sb="13" eb="15">
      <t>ショユウ</t>
    </rPh>
    <phoneticPr fontId="1"/>
  </si>
  <si>
    <t>NWの増強</t>
    <rPh sb="3" eb="5">
      <t>ゾウキョウ</t>
    </rPh>
    <phoneticPr fontId="1"/>
  </si>
  <si>
    <t>BGP-4</t>
    <phoneticPr fontId="1"/>
  </si>
  <si>
    <t>バックボーン</t>
    <phoneticPr fontId="1"/>
  </si>
  <si>
    <t>CR;顧客ルータ</t>
    <rPh sb="3" eb="5">
      <t>コキャク</t>
    </rPh>
    <phoneticPr fontId="1"/>
  </si>
  <si>
    <t>ARP</t>
    <phoneticPr fontId="1"/>
  </si>
  <si>
    <t>キクケ</t>
    <phoneticPr fontId="1"/>
  </si>
  <si>
    <t>経路に障害が起きた場合にLAGメンバから障害回線を自動で除去する</t>
    <rPh sb="0" eb="2">
      <t>ケイロ</t>
    </rPh>
    <rPh sb="3" eb="5">
      <t>ショウガイ</t>
    </rPh>
    <rPh sb="6" eb="7">
      <t>オ</t>
    </rPh>
    <rPh sb="9" eb="11">
      <t>バアイ</t>
    </rPh>
    <rPh sb="20" eb="22">
      <t>ショウガイ</t>
    </rPh>
    <rPh sb="22" eb="24">
      <t>カイセン</t>
    </rPh>
    <rPh sb="25" eb="27">
      <t>ジドウ</t>
    </rPh>
    <rPh sb="28" eb="30">
      <t>ジョキョ</t>
    </rPh>
    <phoneticPr fontId="1"/>
  </si>
  <si>
    <t>接続していると判断して通信パケットを送信する</t>
    <rPh sb="0" eb="2">
      <t>セツゾク</t>
    </rPh>
    <rPh sb="7" eb="9">
      <t>ハンダン</t>
    </rPh>
    <rPh sb="11" eb="13">
      <t>ツウシン</t>
    </rPh>
    <rPh sb="18" eb="20">
      <t>ソウシン</t>
    </rPh>
    <phoneticPr fontId="1"/>
  </si>
  <si>
    <t>通信の送信元と宛先MACアドレスの組合せが少なくハッシュ関数の計算値が分散しないため</t>
    <rPh sb="0" eb="2">
      <t>ツウシン</t>
    </rPh>
    <rPh sb="3" eb="5">
      <t>ソウシン</t>
    </rPh>
    <rPh sb="5" eb="6">
      <t>モト</t>
    </rPh>
    <rPh sb="7" eb="9">
      <t>アテサキ</t>
    </rPh>
    <rPh sb="17" eb="19">
      <t>クミアワ</t>
    </rPh>
    <rPh sb="21" eb="22">
      <t>スク</t>
    </rPh>
    <rPh sb="28" eb="30">
      <t>カンスウ</t>
    </rPh>
    <rPh sb="31" eb="33">
      <t>ケイサン</t>
    </rPh>
    <rPh sb="33" eb="34">
      <t>アタイ</t>
    </rPh>
    <rPh sb="35" eb="37">
      <t>ブンサン</t>
    </rPh>
    <phoneticPr fontId="1"/>
  </si>
  <si>
    <t>D社は商社で社内クラウド事業者Gと構築</t>
    <rPh sb="1" eb="2">
      <t>シャ</t>
    </rPh>
    <rPh sb="3" eb="5">
      <t>ショウシャ</t>
    </rPh>
    <rPh sb="6" eb="8">
      <t>シャナイ</t>
    </rPh>
    <rPh sb="12" eb="15">
      <t>ジギョウシャ</t>
    </rPh>
    <rPh sb="17" eb="19">
      <t>コウチク</t>
    </rPh>
    <phoneticPr fontId="1"/>
  </si>
  <si>
    <t>ネットワークで利用されている</t>
    <rPh sb="7" eb="9">
      <t>リヨウ</t>
    </rPh>
    <phoneticPr fontId="1"/>
  </si>
  <si>
    <t>WEBサービスでシステム国-</t>
    <rPh sb="12" eb="14">
      <t>コクヒク</t>
    </rPh>
    <phoneticPr fontId="1"/>
  </si>
  <si>
    <t>E社を吸収する</t>
    <rPh sb="1" eb="2">
      <t>シャ</t>
    </rPh>
    <rPh sb="3" eb="5">
      <t>キュウシュウ</t>
    </rPh>
    <phoneticPr fontId="1"/>
  </si>
  <si>
    <t>VPCの仮想サーバで経由してアクセス</t>
    <rPh sb="4" eb="6">
      <t>カソウ</t>
    </rPh>
    <rPh sb="10" eb="12">
      <t>ケイユ</t>
    </rPh>
    <phoneticPr fontId="1"/>
  </si>
  <si>
    <t>Ipsecトンネルを構築する</t>
    <rPh sb="10" eb="12">
      <t>コウチク</t>
    </rPh>
    <phoneticPr fontId="1"/>
  </si>
  <si>
    <t>OSPFへデフォルトルートを導入する</t>
    <rPh sb="14" eb="16">
      <t>ドウニュウ</t>
    </rPh>
    <phoneticPr fontId="1"/>
  </si>
  <si>
    <t>ルーティングテーブルサイズを小さくする</t>
    <rPh sb="14" eb="15">
      <t>チイ</t>
    </rPh>
    <phoneticPr fontId="1"/>
  </si>
  <si>
    <t>ルーター</t>
    <phoneticPr fontId="1"/>
  </si>
  <si>
    <t>ダイクストラ</t>
    <phoneticPr fontId="1"/>
  </si>
  <si>
    <t>172.17.0.0</t>
    <phoneticPr fontId="1"/>
  </si>
  <si>
    <t>OSPF仮想リンクの設定を行う</t>
    <rPh sb="4" eb="6">
      <t>カソウ</t>
    </rPh>
    <rPh sb="10" eb="12">
      <t>セッテイ</t>
    </rPh>
    <rPh sb="13" eb="14">
      <t>オコナ</t>
    </rPh>
    <phoneticPr fontId="1"/>
  </si>
  <si>
    <t>OSPFエリア1の支社個別経路を集約する</t>
    <rPh sb="9" eb="11">
      <t>シシャ</t>
    </rPh>
    <rPh sb="11" eb="13">
      <t>コベツ</t>
    </rPh>
    <rPh sb="13" eb="15">
      <t>ケイロ</t>
    </rPh>
    <rPh sb="16" eb="18">
      <t>シュウヤク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</si>
</sst>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4B60B-B587-4C99-AAAB-F8F14F6A4C0D}">
  <sheetPr codeName="Sheet5"/>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D31" sqref="D31"/>
    </sheetView>
  </sheetViews>
  <sheetFormatPr defaultRowHeight="18.75"/>
  <cols>
    <col min="1" max="3" width="4.625" style="2" customWidth="1"/>
    <col min="4" max="4" width="96.875" style="1" customWidth="1"/>
    <col min="5" max="5" width="9.75" customWidth="1"/>
  </cols>
  <sheetData>
    <row r="1" spans="1:7">
      <c r="A1" s="4" t="s">
        <v>0</v>
      </c>
      <c r="B1" s="4"/>
      <c r="C1" s="4"/>
    </row>
    <row r="2" spans="1:7">
      <c r="A2" s="4" t="s">
        <v>2</v>
      </c>
      <c r="B2" s="4"/>
      <c r="C2" s="4"/>
      <c r="D2" s="3"/>
      <c r="F2">
        <f>SUM(F4:F1000)</f>
        <v>0</v>
      </c>
      <c r="G2">
        <f>SUM(G4:G1000)</f>
        <v>0</v>
      </c>
    </row>
    <row r="3" spans="1:7">
      <c r="A3" s="4" t="s">
        <v>1</v>
      </c>
      <c r="B3" s="4"/>
      <c r="C3" s="4"/>
      <c r="D3" s="1" t="s">
        <v>3</v>
      </c>
      <c r="E3" t="s">
        <v>6</v>
      </c>
      <c r="F3" t="s">
        <v>4</v>
      </c>
      <c r="G3" t="s">
        <v>5</v>
      </c>
    </row>
    <row r="4" spans="1:7">
      <c r="E4" t="str">
        <f>IF(D4&lt;&gt;"",LEN(D4),"")</f>
        <v/>
      </c>
    </row>
    <row r="5" spans="1:7">
      <c r="E5" t="str">
        <f t="shared" ref="E5:E68" si="0">IF(D5&lt;&gt;"",LEN(D5),"")</f>
        <v/>
      </c>
    </row>
    <row r="6" spans="1:7">
      <c r="E6" t="str">
        <f t="shared" si="0"/>
        <v/>
      </c>
    </row>
    <row r="7" spans="1:7">
      <c r="E7" t="str">
        <f t="shared" si="0"/>
        <v/>
      </c>
    </row>
    <row r="8" spans="1:7">
      <c r="E8" t="str">
        <f t="shared" si="0"/>
        <v/>
      </c>
    </row>
    <row r="9" spans="1:7">
      <c r="E9" t="str">
        <f t="shared" si="0"/>
        <v/>
      </c>
    </row>
    <row r="10" spans="1:7">
      <c r="E10" t="str">
        <f t="shared" si="0"/>
        <v/>
      </c>
    </row>
    <row r="11" spans="1:7">
      <c r="E11" t="str">
        <f t="shared" si="0"/>
        <v/>
      </c>
    </row>
    <row r="12" spans="1:7">
      <c r="E12" t="str">
        <f t="shared" si="0"/>
        <v/>
      </c>
    </row>
    <row r="13" spans="1:7">
      <c r="E13" t="str">
        <f t="shared" si="0"/>
        <v/>
      </c>
    </row>
    <row r="14" spans="1:7">
      <c r="E14" t="str">
        <f t="shared" si="0"/>
        <v/>
      </c>
    </row>
    <row r="15" spans="1:7">
      <c r="E15" t="str">
        <f t="shared" si="0"/>
        <v/>
      </c>
    </row>
    <row r="16" spans="1:7">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10" sqref="H10"/>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13</v>
      </c>
      <c r="D2">
        <v>80</v>
      </c>
      <c r="E2">
        <v>100</v>
      </c>
    </row>
    <row r="3" spans="1:6">
      <c r="A3">
        <v>2</v>
      </c>
      <c r="B3" s="2" t="s">
        <v>12</v>
      </c>
      <c r="C3" s="2" t="s">
        <v>14</v>
      </c>
      <c r="D3">
        <v>65</v>
      </c>
      <c r="E3">
        <v>100</v>
      </c>
    </row>
    <row r="4" spans="1:6">
      <c r="A4">
        <v>3</v>
      </c>
      <c r="B4" s="2" t="s">
        <v>12</v>
      </c>
      <c r="C4" s="2" t="s">
        <v>15</v>
      </c>
      <c r="D4">
        <v>89</v>
      </c>
      <c r="E4">
        <v>100</v>
      </c>
    </row>
    <row r="5" spans="1:6">
      <c r="A5">
        <v>4</v>
      </c>
      <c r="B5" s="2" t="s">
        <v>12</v>
      </c>
      <c r="C5" s="2" t="s">
        <v>16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698E-195F-4958-9601-7E93F0A796C4}">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D28" sqref="D28"/>
    </sheetView>
  </sheetViews>
  <sheetFormatPr defaultRowHeight="18.75"/>
  <cols>
    <col min="1" max="3" width="5.625" style="2" customWidth="1"/>
    <col min="4" max="4" width="96.875" style="1" customWidth="1"/>
    <col min="5" max="7" width="6.5" customWidth="1"/>
  </cols>
  <sheetData>
    <row r="1" spans="1:9">
      <c r="A1" s="4" t="s">
        <v>0</v>
      </c>
      <c r="B1" s="4"/>
      <c r="C1" s="4"/>
      <c r="D1" s="1" t="s">
        <v>17</v>
      </c>
    </row>
    <row r="2" spans="1:9">
      <c r="A2" s="4" t="s">
        <v>2</v>
      </c>
      <c r="B2" s="4"/>
      <c r="C2" s="4"/>
      <c r="D2" s="3" t="s">
        <v>18</v>
      </c>
      <c r="F2">
        <f>SUM(F4:F1000)</f>
        <v>16</v>
      </c>
      <c r="G2">
        <f>SUM(G4:G1000)</f>
        <v>50</v>
      </c>
    </row>
    <row r="3" spans="1:9">
      <c r="A3" s="4" t="s">
        <v>1</v>
      </c>
      <c r="B3" s="4"/>
      <c r="C3" s="4"/>
      <c r="D3" s="1" t="s">
        <v>3</v>
      </c>
      <c r="E3" t="s">
        <v>6</v>
      </c>
      <c r="F3" t="s">
        <v>4</v>
      </c>
      <c r="G3" t="s">
        <v>5</v>
      </c>
    </row>
    <row r="4" spans="1:9">
      <c r="A4" s="2" t="s">
        <v>18</v>
      </c>
      <c r="C4" s="2" t="s">
        <v>22</v>
      </c>
      <c r="D4" s="1" t="s">
        <v>31</v>
      </c>
      <c r="E4">
        <f>IF(D4&lt;&gt;"",LEN(D4),"")</f>
        <v>4</v>
      </c>
      <c r="F4">
        <v>2</v>
      </c>
      <c r="G4">
        <v>2</v>
      </c>
    </row>
    <row r="5" spans="1:9">
      <c r="C5" s="2" t="s">
        <v>23</v>
      </c>
      <c r="D5" s="1" t="s">
        <v>33</v>
      </c>
      <c r="E5">
        <f t="shared" ref="E5:E68" si="0">IF(D5&lt;&gt;"",LEN(D5),"")</f>
        <v>5</v>
      </c>
      <c r="F5">
        <v>2</v>
      </c>
      <c r="G5">
        <v>2</v>
      </c>
      <c r="I5" t="s">
        <v>19</v>
      </c>
    </row>
    <row r="6" spans="1:9">
      <c r="C6" s="2" t="s">
        <v>24</v>
      </c>
      <c r="D6" s="1" t="s">
        <v>38</v>
      </c>
      <c r="E6">
        <f t="shared" si="0"/>
        <v>2</v>
      </c>
      <c r="F6">
        <v>2</v>
      </c>
      <c r="G6">
        <v>2</v>
      </c>
      <c r="I6" t="s">
        <v>20</v>
      </c>
    </row>
    <row r="7" spans="1:9">
      <c r="C7" s="2" t="s">
        <v>25</v>
      </c>
      <c r="D7" s="1" t="s">
        <v>43</v>
      </c>
      <c r="E7">
        <f t="shared" si="0"/>
        <v>3</v>
      </c>
      <c r="F7">
        <v>0</v>
      </c>
      <c r="G7">
        <v>2</v>
      </c>
      <c r="I7" t="s">
        <v>21</v>
      </c>
    </row>
    <row r="8" spans="1:9">
      <c r="C8" s="2" t="s">
        <v>26</v>
      </c>
      <c r="D8" s="1" t="s">
        <v>39</v>
      </c>
      <c r="E8">
        <f t="shared" si="0"/>
        <v>4</v>
      </c>
      <c r="F8">
        <v>0</v>
      </c>
      <c r="G8">
        <v>2</v>
      </c>
      <c r="I8" t="s">
        <v>32</v>
      </c>
    </row>
    <row r="9" spans="1:9">
      <c r="C9" s="2" t="s">
        <v>27</v>
      </c>
      <c r="D9" s="1" t="s">
        <v>44</v>
      </c>
      <c r="E9">
        <f t="shared" si="0"/>
        <v>10</v>
      </c>
      <c r="F9">
        <v>0</v>
      </c>
      <c r="G9">
        <v>2</v>
      </c>
    </row>
    <row r="10" spans="1:9">
      <c r="A10" s="2" t="s">
        <v>28</v>
      </c>
      <c r="B10" s="2" t="s">
        <v>18</v>
      </c>
      <c r="D10" s="1" t="s">
        <v>34</v>
      </c>
      <c r="E10">
        <f t="shared" si="0"/>
        <v>26</v>
      </c>
      <c r="F10">
        <v>0</v>
      </c>
      <c r="G10">
        <v>4</v>
      </c>
    </row>
    <row r="11" spans="1:9">
      <c r="B11" s="2" t="s">
        <v>28</v>
      </c>
      <c r="D11" s="1" t="s">
        <v>35</v>
      </c>
      <c r="E11">
        <f t="shared" si="0"/>
        <v>22</v>
      </c>
      <c r="F11">
        <v>3</v>
      </c>
      <c r="G11">
        <v>6</v>
      </c>
    </row>
    <row r="12" spans="1:9">
      <c r="A12" s="2" t="s">
        <v>29</v>
      </c>
      <c r="B12" s="2" t="s">
        <v>18</v>
      </c>
      <c r="D12" s="1" t="s">
        <v>36</v>
      </c>
      <c r="E12">
        <f t="shared" si="0"/>
        <v>33</v>
      </c>
      <c r="F12">
        <v>4</v>
      </c>
      <c r="G12">
        <v>4</v>
      </c>
    </row>
    <row r="13" spans="1:9">
      <c r="B13" s="2" t="s">
        <v>28</v>
      </c>
      <c r="D13" s="1" t="s">
        <v>37</v>
      </c>
      <c r="E13">
        <f t="shared" si="0"/>
        <v>17</v>
      </c>
      <c r="F13">
        <v>0</v>
      </c>
      <c r="G13">
        <v>6</v>
      </c>
    </row>
    <row r="14" spans="1:9">
      <c r="B14" s="2" t="s">
        <v>29</v>
      </c>
      <c r="D14" s="1" t="s">
        <v>40</v>
      </c>
      <c r="E14">
        <f t="shared" si="0"/>
        <v>3</v>
      </c>
      <c r="F14">
        <v>3</v>
      </c>
      <c r="G14">
        <v>6</v>
      </c>
    </row>
    <row r="15" spans="1:9">
      <c r="B15" s="2" t="s">
        <v>30</v>
      </c>
      <c r="D15" s="1" t="s">
        <v>41</v>
      </c>
      <c r="E15">
        <f t="shared" si="0"/>
        <v>31</v>
      </c>
      <c r="F15">
        <v>0</v>
      </c>
      <c r="G15">
        <v>6</v>
      </c>
    </row>
    <row r="16" spans="1:9">
      <c r="A16" s="2" t="s">
        <v>30</v>
      </c>
      <c r="D16" s="1" t="s">
        <v>42</v>
      </c>
      <c r="E16">
        <f t="shared" si="0"/>
        <v>26</v>
      </c>
      <c r="F16">
        <v>0</v>
      </c>
      <c r="G16">
        <v>6</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D1" sqref="D1"/>
    </sheetView>
  </sheetViews>
  <sheetFormatPr defaultRowHeight="18.75"/>
  <cols>
    <col min="1" max="3" width="5.625" style="2" customWidth="1"/>
    <col min="4" max="4" width="96.875" style="1" customWidth="1"/>
    <col min="5" max="7" width="6.5" customWidth="1"/>
  </cols>
  <sheetData>
    <row r="1" spans="1:8">
      <c r="A1" s="4" t="s">
        <v>0</v>
      </c>
      <c r="B1" s="4"/>
      <c r="C1" s="4"/>
      <c r="D1" s="1" t="s">
        <v>17</v>
      </c>
    </row>
    <row r="2" spans="1:8">
      <c r="A2" s="4" t="s">
        <v>2</v>
      </c>
      <c r="B2" s="4"/>
      <c r="C2" s="4"/>
      <c r="D2" s="3" t="s">
        <v>28</v>
      </c>
      <c r="F2">
        <f>SUM(F4:F1000)</f>
        <v>21</v>
      </c>
      <c r="G2">
        <f>SUM(G4:G1000)</f>
        <v>50</v>
      </c>
    </row>
    <row r="3" spans="1:8">
      <c r="A3" s="4" t="s">
        <v>1</v>
      </c>
      <c r="B3" s="4"/>
      <c r="C3" s="4"/>
      <c r="D3" s="1" t="s">
        <v>3</v>
      </c>
      <c r="E3" t="s">
        <v>6</v>
      </c>
      <c r="F3" t="s">
        <v>4</v>
      </c>
      <c r="G3" t="s">
        <v>5</v>
      </c>
    </row>
    <row r="4" spans="1:8">
      <c r="A4" s="2" t="s">
        <v>18</v>
      </c>
      <c r="C4" s="2" t="s">
        <v>22</v>
      </c>
      <c r="D4" s="1" t="s">
        <v>53</v>
      </c>
      <c r="E4">
        <f>IF(D4&lt;&gt;"",LEN(D4),"")</f>
        <v>3</v>
      </c>
      <c r="F4">
        <v>0</v>
      </c>
      <c r="G4">
        <v>2</v>
      </c>
      <c r="H4" t="s">
        <v>45</v>
      </c>
    </row>
    <row r="5" spans="1:8">
      <c r="C5" s="2" t="s">
        <v>23</v>
      </c>
      <c r="D5" s="1" t="s">
        <v>54</v>
      </c>
      <c r="E5">
        <f t="shared" ref="E5:E68" si="0">IF(D5&lt;&gt;"",LEN(D5),"")</f>
        <v>5</v>
      </c>
      <c r="F5">
        <v>0</v>
      </c>
      <c r="G5">
        <v>2</v>
      </c>
      <c r="H5" t="s">
        <v>46</v>
      </c>
    </row>
    <row r="6" spans="1:8">
      <c r="C6" s="2" t="s">
        <v>24</v>
      </c>
      <c r="D6" s="1" t="s">
        <v>55</v>
      </c>
      <c r="E6">
        <f t="shared" si="0"/>
        <v>6</v>
      </c>
      <c r="F6">
        <v>2</v>
      </c>
      <c r="G6">
        <v>2</v>
      </c>
      <c r="H6" t="s">
        <v>47</v>
      </c>
    </row>
    <row r="7" spans="1:8">
      <c r="C7" s="2" t="s">
        <v>25</v>
      </c>
      <c r="D7" s="1" t="s">
        <v>56</v>
      </c>
      <c r="E7">
        <f t="shared" si="0"/>
        <v>6</v>
      </c>
      <c r="F7">
        <v>2</v>
      </c>
      <c r="G7">
        <v>2</v>
      </c>
      <c r="H7" t="s">
        <v>48</v>
      </c>
    </row>
    <row r="8" spans="1:8">
      <c r="C8" s="2" t="s">
        <v>26</v>
      </c>
      <c r="D8" s="1" t="s">
        <v>57</v>
      </c>
      <c r="E8">
        <f t="shared" si="0"/>
        <v>12</v>
      </c>
      <c r="F8">
        <v>2</v>
      </c>
      <c r="G8">
        <v>2</v>
      </c>
      <c r="H8" t="s">
        <v>49</v>
      </c>
    </row>
    <row r="9" spans="1:8">
      <c r="A9" s="2" t="s">
        <v>18</v>
      </c>
      <c r="B9" s="2" t="s">
        <v>18</v>
      </c>
      <c r="D9" s="1" t="s">
        <v>58</v>
      </c>
      <c r="E9">
        <f t="shared" si="0"/>
        <v>4</v>
      </c>
      <c r="F9">
        <v>5</v>
      </c>
      <c r="G9">
        <v>5</v>
      </c>
      <c r="H9" t="s">
        <v>50</v>
      </c>
    </row>
    <row r="10" spans="1:8">
      <c r="B10" s="2" t="s">
        <v>28</v>
      </c>
      <c r="D10" s="1" t="s">
        <v>59</v>
      </c>
      <c r="E10">
        <f t="shared" si="0"/>
        <v>17</v>
      </c>
      <c r="F10">
        <v>5</v>
      </c>
      <c r="G10">
        <v>5</v>
      </c>
      <c r="H10" t="s">
        <v>51</v>
      </c>
    </row>
    <row r="11" spans="1:8">
      <c r="A11" s="2" t="s">
        <v>29</v>
      </c>
      <c r="B11" s="2" t="s">
        <v>18</v>
      </c>
      <c r="D11" s="1" t="s">
        <v>60</v>
      </c>
      <c r="E11">
        <f t="shared" si="0"/>
        <v>19</v>
      </c>
      <c r="F11">
        <v>0</v>
      </c>
      <c r="G11">
        <v>4</v>
      </c>
      <c r="H11" t="s">
        <v>52</v>
      </c>
    </row>
    <row r="12" spans="1:8">
      <c r="B12" s="2" t="s">
        <v>28</v>
      </c>
      <c r="D12" s="1" t="s">
        <v>61</v>
      </c>
      <c r="E12">
        <f t="shared" si="0"/>
        <v>10</v>
      </c>
      <c r="F12">
        <v>0</v>
      </c>
      <c r="G12">
        <v>5</v>
      </c>
    </row>
    <row r="13" spans="1:8">
      <c r="B13" s="2" t="s">
        <v>29</v>
      </c>
      <c r="D13" s="1" t="s">
        <v>62</v>
      </c>
      <c r="E13">
        <f t="shared" si="0"/>
        <v>27</v>
      </c>
      <c r="F13">
        <v>0</v>
      </c>
      <c r="G13">
        <v>5</v>
      </c>
    </row>
    <row r="14" spans="1:8">
      <c r="A14" s="2" t="s">
        <v>30</v>
      </c>
      <c r="B14" s="2" t="s">
        <v>18</v>
      </c>
      <c r="D14" s="1" t="s">
        <v>63</v>
      </c>
      <c r="E14">
        <f t="shared" si="0"/>
        <v>23</v>
      </c>
      <c r="F14">
        <v>5</v>
      </c>
      <c r="G14">
        <v>5</v>
      </c>
    </row>
    <row r="15" spans="1:8">
      <c r="B15" s="2" t="s">
        <v>28</v>
      </c>
      <c r="D15" s="1" t="s">
        <v>64</v>
      </c>
      <c r="E15">
        <f t="shared" si="0"/>
        <v>18</v>
      </c>
      <c r="F15">
        <v>0</v>
      </c>
      <c r="G15">
        <v>5</v>
      </c>
    </row>
    <row r="16" spans="1:8">
      <c r="B16" s="2" t="s">
        <v>29</v>
      </c>
      <c r="C16" s="2" t="s">
        <v>18</v>
      </c>
      <c r="D16" s="1" t="s">
        <v>65</v>
      </c>
      <c r="E16">
        <f t="shared" si="0"/>
        <v>8</v>
      </c>
      <c r="F16">
        <v>0</v>
      </c>
      <c r="G16">
        <v>3</v>
      </c>
    </row>
    <row r="17" spans="3:7">
      <c r="C17" s="2" t="s">
        <v>28</v>
      </c>
      <c r="D17" s="1" t="s">
        <v>66</v>
      </c>
      <c r="E17">
        <f t="shared" si="0"/>
        <v>14</v>
      </c>
      <c r="F17">
        <v>0</v>
      </c>
      <c r="G17">
        <v>3</v>
      </c>
    </row>
    <row r="18" spans="3:7">
      <c r="E18" t="str">
        <f t="shared" si="0"/>
        <v/>
      </c>
    </row>
    <row r="19" spans="3:7">
      <c r="E19" t="str">
        <f t="shared" si="0"/>
        <v/>
      </c>
    </row>
    <row r="20" spans="3:7">
      <c r="E20" t="str">
        <f t="shared" si="0"/>
        <v/>
      </c>
    </row>
    <row r="21" spans="3:7">
      <c r="E21" t="str">
        <f t="shared" si="0"/>
        <v/>
      </c>
    </row>
    <row r="22" spans="3:7">
      <c r="E22" t="str">
        <f t="shared" si="0"/>
        <v/>
      </c>
    </row>
    <row r="23" spans="3:7">
      <c r="E23" t="str">
        <f t="shared" si="0"/>
        <v/>
      </c>
    </row>
    <row r="24" spans="3:7">
      <c r="E24" t="str">
        <f t="shared" si="0"/>
        <v/>
      </c>
    </row>
    <row r="25" spans="3:7">
      <c r="E25" t="str">
        <f t="shared" si="0"/>
        <v/>
      </c>
    </row>
    <row r="26" spans="3:7">
      <c r="E26" t="str">
        <f t="shared" si="0"/>
        <v/>
      </c>
    </row>
    <row r="27" spans="3:7">
      <c r="E27" t="str">
        <f t="shared" si="0"/>
        <v/>
      </c>
    </row>
    <row r="28" spans="3:7">
      <c r="E28" t="str">
        <f t="shared" si="0"/>
        <v/>
      </c>
    </row>
    <row r="29" spans="3:7">
      <c r="E29" t="str">
        <f t="shared" si="0"/>
        <v/>
      </c>
    </row>
    <row r="30" spans="3:7">
      <c r="E30" t="str">
        <f t="shared" si="0"/>
        <v/>
      </c>
    </row>
    <row r="31" spans="3:7">
      <c r="E31" t="str">
        <f t="shared" si="0"/>
        <v/>
      </c>
    </row>
    <row r="32" spans="3: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44D2-505E-4909-976E-C92A23BCCDA0}">
  <sheetPr codeName="Sheet11"/>
  <dimension ref="A1:L167"/>
  <sheetViews>
    <sheetView zoomScale="85" zoomScaleNormal="85" workbookViewId="0">
      <pane xSplit="1" ySplit="3" topLeftCell="B4" activePane="bottomRight" state="frozen"/>
      <selection pane="topRight" activeCell="B1" sqref="B1"/>
      <selection pane="bottomLeft" activeCell="A4" sqref="A4"/>
      <selection pane="bottomRight" activeCell="F9" sqref="F9"/>
    </sheetView>
  </sheetViews>
  <sheetFormatPr defaultRowHeight="18.75"/>
  <cols>
    <col min="1" max="3" width="4.5" style="2" customWidth="1"/>
    <col min="4" max="4" width="80.25" style="1" customWidth="1"/>
    <col min="5" max="7" width="7.375" customWidth="1"/>
  </cols>
  <sheetData>
    <row r="1" spans="1:12">
      <c r="A1" s="4" t="s">
        <v>0</v>
      </c>
      <c r="B1" s="4"/>
      <c r="C1" s="4"/>
      <c r="D1" s="1" t="s">
        <v>17</v>
      </c>
    </row>
    <row r="2" spans="1:12">
      <c r="A2" s="4" t="s">
        <v>2</v>
      </c>
      <c r="B2" s="4"/>
      <c r="C2" s="4"/>
      <c r="D2" s="3" t="s">
        <v>29</v>
      </c>
      <c r="F2">
        <f>SUM(F4:F1000)</f>
        <v>26</v>
      </c>
      <c r="G2">
        <f>SUM(G4:G1000)</f>
        <v>50</v>
      </c>
    </row>
    <row r="3" spans="1:12">
      <c r="A3" s="4" t="s">
        <v>1</v>
      </c>
      <c r="B3" s="4"/>
      <c r="C3" s="4"/>
      <c r="D3" s="1" t="s">
        <v>3</v>
      </c>
      <c r="E3" t="s">
        <v>6</v>
      </c>
      <c r="F3" t="s">
        <v>4</v>
      </c>
      <c r="G3" t="s">
        <v>5</v>
      </c>
    </row>
    <row r="4" spans="1:12">
      <c r="A4" s="2" t="s">
        <v>18</v>
      </c>
      <c r="B4" s="2" t="s">
        <v>18</v>
      </c>
      <c r="C4" s="2" t="s">
        <v>67</v>
      </c>
      <c r="D4" s="1" t="s">
        <v>227</v>
      </c>
      <c r="E4">
        <f>IF(D4&lt;&gt;"",LEN(D4),"")</f>
        <v>5</v>
      </c>
      <c r="F4">
        <v>4</v>
      </c>
      <c r="G4">
        <v>4</v>
      </c>
      <c r="H4" t="s">
        <v>72</v>
      </c>
      <c r="J4" t="s">
        <v>79</v>
      </c>
      <c r="L4" t="s">
        <v>224</v>
      </c>
    </row>
    <row r="5" spans="1:12">
      <c r="C5" s="2" t="s">
        <v>68</v>
      </c>
      <c r="D5" s="1" t="s">
        <v>228</v>
      </c>
      <c r="E5">
        <f t="shared" ref="E5:E68" si="0">IF(D5&lt;&gt;"",LEN(D5),"")</f>
        <v>6</v>
      </c>
      <c r="F5">
        <v>4</v>
      </c>
      <c r="G5">
        <v>4</v>
      </c>
      <c r="H5" t="s">
        <v>73</v>
      </c>
      <c r="J5" t="s">
        <v>80</v>
      </c>
      <c r="L5" t="s">
        <v>225</v>
      </c>
    </row>
    <row r="6" spans="1:12">
      <c r="C6" s="2" t="s">
        <v>69</v>
      </c>
      <c r="D6" s="1" t="s">
        <v>230</v>
      </c>
      <c r="E6">
        <f t="shared" si="0"/>
        <v>3</v>
      </c>
      <c r="F6">
        <v>0</v>
      </c>
      <c r="G6">
        <v>4</v>
      </c>
      <c r="H6" t="s">
        <v>74</v>
      </c>
      <c r="J6" t="s">
        <v>81</v>
      </c>
      <c r="L6" t="s">
        <v>226</v>
      </c>
    </row>
    <row r="7" spans="1:12">
      <c r="B7" s="2" t="s">
        <v>28</v>
      </c>
      <c r="D7" s="1" t="s">
        <v>231</v>
      </c>
      <c r="E7">
        <f t="shared" si="0"/>
        <v>3</v>
      </c>
      <c r="F7">
        <v>5</v>
      </c>
      <c r="G7">
        <v>5</v>
      </c>
      <c r="H7" t="s">
        <v>75</v>
      </c>
      <c r="J7" t="s">
        <v>82</v>
      </c>
      <c r="L7" t="s">
        <v>229</v>
      </c>
    </row>
    <row r="8" spans="1:12">
      <c r="B8" s="2" t="s">
        <v>29</v>
      </c>
      <c r="D8" s="1" t="s">
        <v>231</v>
      </c>
      <c r="E8">
        <f t="shared" si="0"/>
        <v>3</v>
      </c>
      <c r="F8">
        <v>5</v>
      </c>
      <c r="G8">
        <v>5</v>
      </c>
      <c r="H8" t="s">
        <v>76</v>
      </c>
    </row>
    <row r="9" spans="1:12">
      <c r="B9" s="2" t="s">
        <v>30</v>
      </c>
      <c r="D9" s="1" t="s">
        <v>232</v>
      </c>
      <c r="E9">
        <f t="shared" si="0"/>
        <v>32</v>
      </c>
      <c r="F9">
        <v>8</v>
      </c>
      <c r="G9">
        <v>8</v>
      </c>
      <c r="H9" t="s">
        <v>77</v>
      </c>
    </row>
    <row r="10" spans="1:12">
      <c r="B10" s="2" t="s">
        <v>70</v>
      </c>
      <c r="D10" s="1" t="s">
        <v>233</v>
      </c>
      <c r="E10">
        <f t="shared" si="0"/>
        <v>22</v>
      </c>
      <c r="F10">
        <v>0</v>
      </c>
      <c r="G10">
        <v>10</v>
      </c>
      <c r="H10" t="s">
        <v>78</v>
      </c>
    </row>
    <row r="11" spans="1:12">
      <c r="B11" s="2" t="s">
        <v>71</v>
      </c>
      <c r="D11" s="1" t="s">
        <v>234</v>
      </c>
      <c r="E11">
        <f t="shared" si="0"/>
        <v>42</v>
      </c>
      <c r="F11">
        <v>0</v>
      </c>
      <c r="G11">
        <v>10</v>
      </c>
    </row>
    <row r="12" spans="1:12">
      <c r="E12" t="str">
        <f t="shared" si="0"/>
        <v/>
      </c>
    </row>
    <row r="13" spans="1:12">
      <c r="E13" t="str">
        <f t="shared" si="0"/>
        <v/>
      </c>
    </row>
    <row r="14" spans="1:12">
      <c r="E14" t="str">
        <f t="shared" si="0"/>
        <v/>
      </c>
    </row>
    <row r="15" spans="1:12">
      <c r="E15" t="str">
        <f t="shared" si="0"/>
        <v/>
      </c>
    </row>
    <row r="16" spans="1:12">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0585D-569F-463E-97AD-33C4C41B7199}">
  <sheetPr codeName="Sheet7"/>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20" sqref="F20"/>
    </sheetView>
  </sheetViews>
  <sheetFormatPr defaultRowHeight="18.75"/>
  <cols>
    <col min="1" max="3" width="4.625" style="2" customWidth="1"/>
    <col min="4" max="4" width="88.25" style="1" customWidth="1"/>
    <col min="5" max="5" width="9.75" customWidth="1"/>
  </cols>
  <sheetData>
    <row r="1" spans="1:10">
      <c r="A1" s="4" t="s">
        <v>0</v>
      </c>
      <c r="B1" s="4"/>
      <c r="C1" s="4"/>
      <c r="D1" s="1" t="s">
        <v>17</v>
      </c>
    </row>
    <row r="2" spans="1:10">
      <c r="A2" s="4" t="s">
        <v>2</v>
      </c>
      <c r="B2" s="4"/>
      <c r="C2" s="4"/>
      <c r="D2" s="3" t="s">
        <v>30</v>
      </c>
      <c r="F2">
        <f>SUM(F4:F1000)</f>
        <v>22</v>
      </c>
      <c r="G2">
        <f>SUM(G4:G1000)</f>
        <v>50</v>
      </c>
    </row>
    <row r="3" spans="1:10">
      <c r="A3" s="4" t="s">
        <v>1</v>
      </c>
      <c r="B3" s="4"/>
      <c r="C3" s="4"/>
      <c r="D3" s="1" t="s">
        <v>3</v>
      </c>
      <c r="E3" t="s">
        <v>6</v>
      </c>
      <c r="F3" t="s">
        <v>4</v>
      </c>
      <c r="G3" t="s">
        <v>5</v>
      </c>
    </row>
    <row r="4" spans="1:10">
      <c r="A4" s="2" t="s">
        <v>18</v>
      </c>
      <c r="B4" s="2" t="s">
        <v>18</v>
      </c>
      <c r="C4" s="2" t="s">
        <v>67</v>
      </c>
      <c r="D4" s="1" t="s">
        <v>104</v>
      </c>
      <c r="E4">
        <f>IF(D4&lt;&gt;"",LEN(D4),"")</f>
        <v>3</v>
      </c>
      <c r="F4">
        <v>2</v>
      </c>
      <c r="G4">
        <v>2</v>
      </c>
      <c r="H4" t="s">
        <v>89</v>
      </c>
      <c r="J4" t="s">
        <v>98</v>
      </c>
    </row>
    <row r="5" spans="1:10">
      <c r="C5" s="2" t="s">
        <v>68</v>
      </c>
      <c r="D5" s="1" t="s">
        <v>106</v>
      </c>
      <c r="E5">
        <f t="shared" ref="E5:E68" si="0">IF(D5&lt;&gt;"",LEN(D5),"")</f>
        <v>3</v>
      </c>
      <c r="F5">
        <v>0</v>
      </c>
      <c r="G5">
        <v>2</v>
      </c>
      <c r="H5" t="s">
        <v>90</v>
      </c>
      <c r="J5" t="s">
        <v>99</v>
      </c>
    </row>
    <row r="6" spans="1:10">
      <c r="C6" s="2" t="s">
        <v>69</v>
      </c>
      <c r="D6" s="1" t="s">
        <v>107</v>
      </c>
      <c r="E6">
        <f t="shared" si="0"/>
        <v>3</v>
      </c>
      <c r="F6">
        <v>2</v>
      </c>
      <c r="G6">
        <v>2</v>
      </c>
      <c r="H6" t="s">
        <v>91</v>
      </c>
      <c r="J6" t="s">
        <v>100</v>
      </c>
    </row>
    <row r="7" spans="1:10">
      <c r="C7" s="2" t="s">
        <v>83</v>
      </c>
      <c r="D7" s="1" t="s">
        <v>108</v>
      </c>
      <c r="E7">
        <f t="shared" si="0"/>
        <v>6</v>
      </c>
      <c r="F7">
        <v>0</v>
      </c>
      <c r="G7">
        <v>2</v>
      </c>
      <c r="H7" t="s">
        <v>92</v>
      </c>
      <c r="J7" t="s">
        <v>101</v>
      </c>
    </row>
    <row r="8" spans="1:10">
      <c r="C8" s="2" t="s">
        <v>84</v>
      </c>
      <c r="D8" s="1" t="s">
        <v>109</v>
      </c>
      <c r="E8">
        <f t="shared" si="0"/>
        <v>10</v>
      </c>
      <c r="F8">
        <v>2</v>
      </c>
      <c r="G8">
        <v>2</v>
      </c>
      <c r="H8" t="s">
        <v>93</v>
      </c>
      <c r="J8" t="s">
        <v>102</v>
      </c>
    </row>
    <row r="9" spans="1:10">
      <c r="A9" s="2" t="s">
        <v>28</v>
      </c>
      <c r="D9" s="1" t="s">
        <v>110</v>
      </c>
      <c r="E9">
        <f t="shared" si="0"/>
        <v>45</v>
      </c>
      <c r="F9">
        <v>0</v>
      </c>
      <c r="G9">
        <v>4</v>
      </c>
      <c r="H9" t="s">
        <v>94</v>
      </c>
      <c r="J9" t="s">
        <v>103</v>
      </c>
    </row>
    <row r="10" spans="1:10">
      <c r="A10" s="2" t="s">
        <v>29</v>
      </c>
      <c r="B10" s="2" t="s">
        <v>18</v>
      </c>
      <c r="D10" s="1" t="s">
        <v>111</v>
      </c>
      <c r="E10">
        <f t="shared" si="0"/>
        <v>20</v>
      </c>
      <c r="F10">
        <v>0</v>
      </c>
      <c r="G10">
        <v>3</v>
      </c>
      <c r="H10" t="s">
        <v>95</v>
      </c>
      <c r="J10" t="s">
        <v>105</v>
      </c>
    </row>
    <row r="11" spans="1:10">
      <c r="B11" s="2" t="s">
        <v>28</v>
      </c>
      <c r="D11" s="1" t="s">
        <v>106</v>
      </c>
      <c r="E11">
        <f t="shared" si="0"/>
        <v>3</v>
      </c>
      <c r="F11">
        <v>3</v>
      </c>
      <c r="G11">
        <v>3</v>
      </c>
      <c r="H11" t="s">
        <v>96</v>
      </c>
    </row>
    <row r="12" spans="1:10">
      <c r="B12" s="2" t="s">
        <v>29</v>
      </c>
      <c r="D12" s="1" t="s">
        <v>113</v>
      </c>
      <c r="E12">
        <f t="shared" si="0"/>
        <v>6</v>
      </c>
      <c r="F12">
        <v>3</v>
      </c>
      <c r="G12">
        <v>3</v>
      </c>
      <c r="H12" t="s">
        <v>97</v>
      </c>
      <c r="J12" t="s">
        <v>112</v>
      </c>
    </row>
    <row r="13" spans="1:10">
      <c r="B13" s="2" t="s">
        <v>30</v>
      </c>
      <c r="C13" s="2" t="s">
        <v>85</v>
      </c>
      <c r="D13" s="1" t="s">
        <v>106</v>
      </c>
      <c r="E13">
        <f t="shared" si="0"/>
        <v>3</v>
      </c>
      <c r="F13">
        <v>0</v>
      </c>
      <c r="G13">
        <v>3</v>
      </c>
      <c r="H13" t="s">
        <v>121</v>
      </c>
      <c r="J13" t="s">
        <v>115</v>
      </c>
    </row>
    <row r="14" spans="1:10">
      <c r="C14" s="2" t="s">
        <v>86</v>
      </c>
      <c r="D14" s="1" t="s">
        <v>114</v>
      </c>
      <c r="E14">
        <f t="shared" si="0"/>
        <v>13</v>
      </c>
      <c r="F14">
        <v>3</v>
      </c>
      <c r="G14">
        <v>3</v>
      </c>
      <c r="H14" t="s">
        <v>122</v>
      </c>
      <c r="J14" t="s">
        <v>116</v>
      </c>
    </row>
    <row r="15" spans="1:10">
      <c r="A15" s="2" t="s">
        <v>30</v>
      </c>
      <c r="B15" s="2" t="s">
        <v>18</v>
      </c>
      <c r="D15" s="1" t="s">
        <v>118</v>
      </c>
      <c r="E15">
        <f t="shared" si="0"/>
        <v>5</v>
      </c>
      <c r="F15">
        <v>4</v>
      </c>
      <c r="G15">
        <v>4</v>
      </c>
      <c r="J15" t="s">
        <v>117</v>
      </c>
    </row>
    <row r="16" spans="1:10">
      <c r="B16" s="2" t="s">
        <v>28</v>
      </c>
      <c r="C16" s="2" t="s">
        <v>18</v>
      </c>
      <c r="D16" s="1" t="s">
        <v>106</v>
      </c>
      <c r="E16">
        <f t="shared" si="0"/>
        <v>3</v>
      </c>
      <c r="F16">
        <v>3</v>
      </c>
      <c r="G16">
        <v>3</v>
      </c>
    </row>
    <row r="17" spans="2:7">
      <c r="C17" s="2" t="s">
        <v>28</v>
      </c>
      <c r="D17" s="1" t="s">
        <v>119</v>
      </c>
      <c r="E17">
        <f t="shared" si="0"/>
        <v>5</v>
      </c>
      <c r="F17">
        <v>0</v>
      </c>
      <c r="G17">
        <v>3</v>
      </c>
    </row>
    <row r="18" spans="2:7">
      <c r="C18" s="2" t="s">
        <v>87</v>
      </c>
      <c r="D18" s="1" t="s">
        <v>120</v>
      </c>
      <c r="E18">
        <f t="shared" si="0"/>
        <v>15</v>
      </c>
      <c r="F18">
        <v>0</v>
      </c>
      <c r="G18">
        <v>4</v>
      </c>
    </row>
    <row r="19" spans="2:7">
      <c r="B19" s="2" t="s">
        <v>29</v>
      </c>
      <c r="C19" s="2" t="s">
        <v>88</v>
      </c>
      <c r="D19" s="1" t="s">
        <v>123</v>
      </c>
      <c r="E19">
        <f t="shared" si="0"/>
        <v>5</v>
      </c>
      <c r="F19">
        <v>0</v>
      </c>
      <c r="G19">
        <v>3</v>
      </c>
    </row>
    <row r="20" spans="2:7">
      <c r="C20" s="2" t="s">
        <v>87</v>
      </c>
      <c r="D20" s="1" t="s">
        <v>124</v>
      </c>
      <c r="E20">
        <f t="shared" si="0"/>
        <v>18</v>
      </c>
      <c r="F20">
        <v>0</v>
      </c>
      <c r="G20">
        <v>4</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E3220-B43F-4EAC-B807-663F54775D81}">
  <sheetPr codeName="Sheet8"/>
  <dimension ref="A1:L167"/>
  <sheetViews>
    <sheetView zoomScale="85" zoomScaleNormal="85" workbookViewId="0">
      <pane xSplit="1" ySplit="3" topLeftCell="B4" activePane="bottomRight" state="frozen"/>
      <selection pane="topRight" activeCell="B1" sqref="B1"/>
      <selection pane="bottomLeft" activeCell="A4" sqref="A4"/>
      <selection pane="bottomRight" activeCell="E19" sqref="E19"/>
    </sheetView>
  </sheetViews>
  <sheetFormatPr defaultRowHeight="18.75"/>
  <cols>
    <col min="1" max="3" width="4.625" style="2" customWidth="1"/>
    <col min="4" max="4" width="76.75" style="1" customWidth="1"/>
    <col min="5" max="5" width="9.75" customWidth="1"/>
  </cols>
  <sheetData>
    <row r="1" spans="1:12">
      <c r="A1" s="4" t="s">
        <v>0</v>
      </c>
      <c r="B1" s="4"/>
      <c r="C1" s="4"/>
      <c r="D1" s="1" t="s">
        <v>17</v>
      </c>
    </row>
    <row r="2" spans="1:12">
      <c r="A2" s="4" t="s">
        <v>2</v>
      </c>
      <c r="B2" s="4"/>
      <c r="C2" s="4"/>
      <c r="D2" s="3" t="s">
        <v>70</v>
      </c>
      <c r="F2">
        <f>SUM(F4:F1000)</f>
        <v>40</v>
      </c>
      <c r="G2">
        <f>SUM(G4:G1000)</f>
        <v>50</v>
      </c>
    </row>
    <row r="3" spans="1:12">
      <c r="A3" s="4" t="s">
        <v>1</v>
      </c>
      <c r="B3" s="4"/>
      <c r="C3" s="4"/>
      <c r="D3" s="1" t="s">
        <v>3</v>
      </c>
      <c r="E3" t="s">
        <v>6</v>
      </c>
      <c r="F3" t="s">
        <v>4</v>
      </c>
      <c r="G3" t="s">
        <v>5</v>
      </c>
    </row>
    <row r="4" spans="1:12">
      <c r="A4" s="2" t="s">
        <v>18</v>
      </c>
      <c r="C4" s="2" t="s">
        <v>125</v>
      </c>
      <c r="D4" s="1" t="s">
        <v>152</v>
      </c>
      <c r="E4">
        <f>IF(D4&lt;&gt;"",LEN(D4),"")</f>
        <v>2</v>
      </c>
      <c r="F4">
        <v>2</v>
      </c>
      <c r="G4">
        <v>2</v>
      </c>
      <c r="H4" t="s">
        <v>142</v>
      </c>
      <c r="J4" t="s">
        <v>155</v>
      </c>
      <c r="L4" t="s">
        <v>165</v>
      </c>
    </row>
    <row r="5" spans="1:12">
      <c r="C5" s="2" t="s">
        <v>126</v>
      </c>
      <c r="D5" s="1" t="s">
        <v>153</v>
      </c>
      <c r="E5">
        <f t="shared" ref="E5:E68" si="0">IF(D5&lt;&gt;"",LEN(D5),"")</f>
        <v>3</v>
      </c>
      <c r="F5">
        <v>2</v>
      </c>
      <c r="G5">
        <v>2</v>
      </c>
      <c r="H5" t="s">
        <v>143</v>
      </c>
      <c r="J5" t="s">
        <v>156</v>
      </c>
      <c r="L5" t="s">
        <v>166</v>
      </c>
    </row>
    <row r="6" spans="1:12">
      <c r="C6" s="2" t="s">
        <v>127</v>
      </c>
      <c r="D6" s="1" t="s">
        <v>154</v>
      </c>
      <c r="E6">
        <f t="shared" si="0"/>
        <v>2</v>
      </c>
      <c r="F6">
        <v>2</v>
      </c>
      <c r="G6">
        <v>2</v>
      </c>
      <c r="H6" t="s">
        <v>144</v>
      </c>
      <c r="J6" t="s">
        <v>157</v>
      </c>
      <c r="L6" t="s">
        <v>168</v>
      </c>
    </row>
    <row r="7" spans="1:12">
      <c r="C7" s="2" t="s">
        <v>128</v>
      </c>
      <c r="D7" s="1" t="s">
        <v>167</v>
      </c>
      <c r="E7">
        <f t="shared" si="0"/>
        <v>8</v>
      </c>
      <c r="F7">
        <v>2</v>
      </c>
      <c r="G7">
        <v>2</v>
      </c>
      <c r="H7" t="s">
        <v>145</v>
      </c>
      <c r="J7" t="s">
        <v>158</v>
      </c>
    </row>
    <row r="8" spans="1:12">
      <c r="C8" s="2" t="s">
        <v>129</v>
      </c>
      <c r="D8" s="1" t="s">
        <v>169</v>
      </c>
      <c r="E8">
        <f t="shared" si="0"/>
        <v>10</v>
      </c>
      <c r="F8">
        <v>2</v>
      </c>
      <c r="G8">
        <v>2</v>
      </c>
      <c r="H8" t="s">
        <v>146</v>
      </c>
      <c r="J8" t="s">
        <v>159</v>
      </c>
    </row>
    <row r="9" spans="1:12">
      <c r="C9" s="2" t="s">
        <v>130</v>
      </c>
      <c r="D9" s="1" t="s">
        <v>166</v>
      </c>
      <c r="E9">
        <f t="shared" si="0"/>
        <v>10</v>
      </c>
      <c r="F9">
        <v>2</v>
      </c>
      <c r="G9">
        <v>2</v>
      </c>
      <c r="H9" t="s">
        <v>147</v>
      </c>
      <c r="J9" t="s">
        <v>160</v>
      </c>
    </row>
    <row r="10" spans="1:12">
      <c r="C10" s="2" t="s">
        <v>131</v>
      </c>
      <c r="D10" s="1" t="s">
        <v>170</v>
      </c>
      <c r="E10">
        <f t="shared" si="0"/>
        <v>4</v>
      </c>
      <c r="F10">
        <v>2</v>
      </c>
      <c r="G10">
        <v>2</v>
      </c>
      <c r="H10" t="s">
        <v>148</v>
      </c>
      <c r="J10" t="s">
        <v>161</v>
      </c>
    </row>
    <row r="11" spans="1:12">
      <c r="C11" s="2" t="s">
        <v>132</v>
      </c>
      <c r="D11" s="1" t="s">
        <v>171</v>
      </c>
      <c r="E11">
        <f t="shared" si="0"/>
        <v>2</v>
      </c>
      <c r="F11">
        <v>2</v>
      </c>
      <c r="G11">
        <v>2</v>
      </c>
      <c r="H11" t="s">
        <v>149</v>
      </c>
      <c r="J11" t="s">
        <v>162</v>
      </c>
    </row>
    <row r="12" spans="1:12">
      <c r="A12" s="2" t="s">
        <v>28</v>
      </c>
      <c r="B12" s="2" t="s">
        <v>18</v>
      </c>
      <c r="C12" s="2" t="s">
        <v>133</v>
      </c>
      <c r="D12" s="1" t="s">
        <v>176</v>
      </c>
      <c r="E12">
        <f t="shared" si="0"/>
        <v>2</v>
      </c>
      <c r="F12">
        <v>2</v>
      </c>
      <c r="G12">
        <v>2</v>
      </c>
      <c r="H12" t="s">
        <v>150</v>
      </c>
      <c r="J12" t="s">
        <v>163</v>
      </c>
    </row>
    <row r="13" spans="1:12">
      <c r="C13" s="2" t="s">
        <v>134</v>
      </c>
      <c r="D13" s="1" t="s">
        <v>177</v>
      </c>
      <c r="E13">
        <f t="shared" si="0"/>
        <v>2</v>
      </c>
      <c r="F13">
        <v>2</v>
      </c>
      <c r="G13">
        <v>2</v>
      </c>
      <c r="H13" t="s">
        <v>151</v>
      </c>
      <c r="J13" t="s">
        <v>164</v>
      </c>
    </row>
    <row r="14" spans="1:12">
      <c r="C14" s="2" t="s">
        <v>135</v>
      </c>
      <c r="D14" s="1" t="s">
        <v>175</v>
      </c>
      <c r="E14">
        <f t="shared" si="0"/>
        <v>2</v>
      </c>
      <c r="F14">
        <v>2</v>
      </c>
      <c r="G14">
        <v>2</v>
      </c>
      <c r="J14" t="s">
        <v>172</v>
      </c>
    </row>
    <row r="15" spans="1:12">
      <c r="C15" s="2" t="s">
        <v>136</v>
      </c>
      <c r="D15" s="1" t="s">
        <v>178</v>
      </c>
      <c r="E15">
        <f t="shared" si="0"/>
        <v>2</v>
      </c>
      <c r="F15">
        <v>2</v>
      </c>
      <c r="G15">
        <v>2</v>
      </c>
      <c r="J15" t="s">
        <v>173</v>
      </c>
    </row>
    <row r="16" spans="1:12">
      <c r="C16" s="2" t="s">
        <v>137</v>
      </c>
      <c r="D16" s="1" t="s">
        <v>179</v>
      </c>
      <c r="E16">
        <f t="shared" si="0"/>
        <v>2</v>
      </c>
      <c r="F16">
        <v>2</v>
      </c>
      <c r="G16">
        <v>2</v>
      </c>
      <c r="J16" t="s">
        <v>174</v>
      </c>
    </row>
    <row r="17" spans="2:7">
      <c r="B17" s="2" t="s">
        <v>28</v>
      </c>
      <c r="D17" s="1" t="s">
        <v>180</v>
      </c>
      <c r="E17">
        <f t="shared" si="0"/>
        <v>12</v>
      </c>
      <c r="F17">
        <v>0</v>
      </c>
      <c r="G17">
        <v>4</v>
      </c>
    </row>
    <row r="18" spans="2:7">
      <c r="B18" s="2" t="s">
        <v>29</v>
      </c>
      <c r="D18" s="1" t="s">
        <v>181</v>
      </c>
      <c r="E18">
        <f t="shared" si="0"/>
        <v>27</v>
      </c>
      <c r="F18">
        <v>4</v>
      </c>
      <c r="G18">
        <v>4</v>
      </c>
    </row>
    <row r="19" spans="2:7" ht="37.5">
      <c r="B19" s="2" t="s">
        <v>30</v>
      </c>
      <c r="D19" s="1" t="s">
        <v>182</v>
      </c>
      <c r="E19">
        <f t="shared" si="0"/>
        <v>58</v>
      </c>
      <c r="F19">
        <v>0</v>
      </c>
      <c r="G19">
        <v>4</v>
      </c>
    </row>
    <row r="20" spans="2:7">
      <c r="B20" s="2" t="s">
        <v>70</v>
      </c>
      <c r="C20" s="2" t="s">
        <v>138</v>
      </c>
      <c r="D20" s="1" t="s">
        <v>183</v>
      </c>
      <c r="E20">
        <f t="shared" si="0"/>
        <v>2</v>
      </c>
      <c r="F20">
        <v>0</v>
      </c>
      <c r="G20">
        <v>2</v>
      </c>
    </row>
    <row r="21" spans="2:7">
      <c r="C21" s="2" t="s">
        <v>139</v>
      </c>
      <c r="D21" s="1" t="s">
        <v>177</v>
      </c>
      <c r="E21">
        <f t="shared" si="0"/>
        <v>2</v>
      </c>
      <c r="F21">
        <v>2</v>
      </c>
      <c r="G21">
        <v>2</v>
      </c>
    </row>
    <row r="22" spans="2:7">
      <c r="C22" s="2" t="s">
        <v>140</v>
      </c>
      <c r="D22" s="1" t="s">
        <v>184</v>
      </c>
      <c r="E22">
        <f t="shared" si="0"/>
        <v>2</v>
      </c>
      <c r="F22">
        <v>2</v>
      </c>
      <c r="G22">
        <v>2</v>
      </c>
    </row>
    <row r="23" spans="2:7">
      <c r="C23" s="2" t="s">
        <v>141</v>
      </c>
      <c r="D23" s="1" t="s">
        <v>175</v>
      </c>
      <c r="E23">
        <f t="shared" si="0"/>
        <v>2</v>
      </c>
      <c r="F23">
        <v>2</v>
      </c>
      <c r="G23">
        <v>2</v>
      </c>
    </row>
    <row r="24" spans="2:7">
      <c r="B24" s="2" t="s">
        <v>71</v>
      </c>
      <c r="D24" s="1" t="s">
        <v>185</v>
      </c>
      <c r="E24">
        <f t="shared" si="0"/>
        <v>9</v>
      </c>
      <c r="F24">
        <v>4</v>
      </c>
      <c r="G24">
        <v>4</v>
      </c>
    </row>
    <row r="25" spans="2:7">
      <c r="D25" s="1" t="s">
        <v>186</v>
      </c>
      <c r="E25">
        <f t="shared" si="0"/>
        <v>24</v>
      </c>
    </row>
    <row r="26" spans="2:7">
      <c r="D26" s="1" t="s">
        <v>187</v>
      </c>
      <c r="E26">
        <f t="shared" si="0"/>
        <v>10</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F70F4-CACC-4717-9560-F0FB57103CED}">
  <sheetPr codeName="Sheet9"/>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25" sqref="D25"/>
    </sheetView>
  </sheetViews>
  <sheetFormatPr defaultRowHeight="18.75"/>
  <cols>
    <col min="1" max="3" width="5.625" style="2" customWidth="1"/>
    <col min="4" max="4" width="96.875" style="1" customWidth="1"/>
    <col min="5" max="7" width="6.5" customWidth="1"/>
  </cols>
  <sheetData>
    <row r="1" spans="1:11">
      <c r="A1" s="4" t="s">
        <v>0</v>
      </c>
      <c r="B1" s="4"/>
      <c r="C1" s="4"/>
      <c r="D1" s="1" t="s">
        <v>17</v>
      </c>
    </row>
    <row r="2" spans="1:11">
      <c r="A2" s="4" t="s">
        <v>2</v>
      </c>
      <c r="B2" s="4"/>
      <c r="C2" s="4"/>
      <c r="D2" s="3" t="s">
        <v>18</v>
      </c>
      <c r="F2">
        <f>SUM(F4:F1000)</f>
        <v>37</v>
      </c>
      <c r="G2">
        <f>SUM(G4:G1000)</f>
        <v>50</v>
      </c>
    </row>
    <row r="3" spans="1:11">
      <c r="A3" s="4" t="s">
        <v>1</v>
      </c>
      <c r="B3" s="4"/>
      <c r="C3" s="4"/>
      <c r="D3" s="1" t="s">
        <v>3</v>
      </c>
      <c r="E3" t="s">
        <v>6</v>
      </c>
      <c r="F3" t="s">
        <v>4</v>
      </c>
      <c r="G3" t="s">
        <v>5</v>
      </c>
    </row>
    <row r="4" spans="1:11">
      <c r="A4" s="2" t="s">
        <v>18</v>
      </c>
      <c r="C4" s="2" t="s">
        <v>22</v>
      </c>
      <c r="D4" s="1" t="s">
        <v>31</v>
      </c>
      <c r="E4">
        <f>IF(D4&lt;&gt;"",LEN(D4),"")</f>
        <v>4</v>
      </c>
      <c r="F4">
        <v>2</v>
      </c>
      <c r="G4">
        <v>2</v>
      </c>
    </row>
    <row r="5" spans="1:11">
      <c r="C5" s="2" t="s">
        <v>23</v>
      </c>
      <c r="D5" s="1" t="s">
        <v>33</v>
      </c>
      <c r="E5">
        <f t="shared" ref="E5:E68" si="0">IF(D5&lt;&gt;"",LEN(D5),"")</f>
        <v>5</v>
      </c>
      <c r="F5">
        <v>2</v>
      </c>
      <c r="G5">
        <v>2</v>
      </c>
      <c r="I5" t="s">
        <v>19</v>
      </c>
      <c r="K5" t="s">
        <v>188</v>
      </c>
    </row>
    <row r="6" spans="1:11">
      <c r="C6" s="2" t="s">
        <v>24</v>
      </c>
      <c r="D6" s="1" t="s">
        <v>38</v>
      </c>
      <c r="E6">
        <f t="shared" si="0"/>
        <v>2</v>
      </c>
      <c r="F6">
        <v>2</v>
      </c>
      <c r="G6">
        <v>2</v>
      </c>
      <c r="I6" t="s">
        <v>20</v>
      </c>
      <c r="K6" t="s">
        <v>189</v>
      </c>
    </row>
    <row r="7" spans="1:11">
      <c r="C7" s="2" t="s">
        <v>25</v>
      </c>
      <c r="D7" s="1" t="s">
        <v>43</v>
      </c>
      <c r="E7">
        <f t="shared" si="0"/>
        <v>3</v>
      </c>
      <c r="F7">
        <v>2</v>
      </c>
      <c r="G7">
        <v>2</v>
      </c>
      <c r="I7" t="s">
        <v>21</v>
      </c>
      <c r="K7" t="s">
        <v>190</v>
      </c>
    </row>
    <row r="8" spans="1:11">
      <c r="C8" s="2" t="s">
        <v>26</v>
      </c>
      <c r="D8" s="1" t="s">
        <v>39</v>
      </c>
      <c r="E8">
        <f t="shared" si="0"/>
        <v>4</v>
      </c>
      <c r="F8">
        <v>2</v>
      </c>
      <c r="G8">
        <v>2</v>
      </c>
      <c r="I8" t="s">
        <v>32</v>
      </c>
      <c r="K8" t="s">
        <v>191</v>
      </c>
    </row>
    <row r="9" spans="1:11">
      <c r="C9" s="2" t="s">
        <v>27</v>
      </c>
      <c r="D9" s="1" t="s">
        <v>44</v>
      </c>
      <c r="E9">
        <f t="shared" si="0"/>
        <v>10</v>
      </c>
      <c r="F9">
        <v>2</v>
      </c>
      <c r="G9">
        <v>2</v>
      </c>
      <c r="I9" t="s">
        <v>200</v>
      </c>
      <c r="K9" t="s">
        <v>192</v>
      </c>
    </row>
    <row r="10" spans="1:11">
      <c r="A10" s="2" t="s">
        <v>28</v>
      </c>
      <c r="B10" s="2" t="s">
        <v>18</v>
      </c>
      <c r="D10" s="1" t="s">
        <v>199</v>
      </c>
      <c r="E10">
        <f t="shared" si="0"/>
        <v>41</v>
      </c>
      <c r="F10">
        <v>0</v>
      </c>
      <c r="G10">
        <v>4</v>
      </c>
      <c r="K10" t="s">
        <v>193</v>
      </c>
    </row>
    <row r="11" spans="1:11">
      <c r="B11" s="2" t="s">
        <v>28</v>
      </c>
      <c r="D11" s="1" t="s">
        <v>35</v>
      </c>
      <c r="E11">
        <f t="shared" si="0"/>
        <v>22</v>
      </c>
      <c r="F11">
        <v>6</v>
      </c>
      <c r="G11">
        <v>6</v>
      </c>
      <c r="K11" t="s">
        <v>194</v>
      </c>
    </row>
    <row r="12" spans="1:11">
      <c r="A12" s="2" t="s">
        <v>29</v>
      </c>
      <c r="B12" s="2" t="s">
        <v>18</v>
      </c>
      <c r="D12" s="1" t="s">
        <v>201</v>
      </c>
      <c r="E12">
        <f t="shared" si="0"/>
        <v>36</v>
      </c>
      <c r="F12">
        <v>4</v>
      </c>
      <c r="G12">
        <v>4</v>
      </c>
      <c r="K12" t="s">
        <v>195</v>
      </c>
    </row>
    <row r="13" spans="1:11">
      <c r="B13" s="2" t="s">
        <v>28</v>
      </c>
      <c r="D13" s="1" t="s">
        <v>202</v>
      </c>
      <c r="E13">
        <f t="shared" si="0"/>
        <v>12</v>
      </c>
      <c r="F13">
        <v>3</v>
      </c>
      <c r="G13">
        <v>6</v>
      </c>
      <c r="K13" t="s">
        <v>196</v>
      </c>
    </row>
    <row r="14" spans="1:11">
      <c r="B14" s="2" t="s">
        <v>29</v>
      </c>
      <c r="D14" s="1" t="s">
        <v>198</v>
      </c>
      <c r="E14">
        <f t="shared" si="0"/>
        <v>2</v>
      </c>
      <c r="F14">
        <v>6</v>
      </c>
      <c r="G14">
        <v>6</v>
      </c>
      <c r="K14" t="s">
        <v>197</v>
      </c>
    </row>
    <row r="15" spans="1:11">
      <c r="B15" s="2" t="s">
        <v>30</v>
      </c>
      <c r="D15" s="1" t="s">
        <v>203</v>
      </c>
      <c r="E15">
        <f t="shared" si="0"/>
        <v>33</v>
      </c>
      <c r="F15">
        <v>0</v>
      </c>
      <c r="G15">
        <v>6</v>
      </c>
    </row>
    <row r="16" spans="1:11">
      <c r="A16" s="2" t="s">
        <v>30</v>
      </c>
      <c r="D16" s="1" t="s">
        <v>204</v>
      </c>
      <c r="E16">
        <f t="shared" si="0"/>
        <v>27</v>
      </c>
      <c r="F16">
        <v>6</v>
      </c>
      <c r="G16">
        <v>6</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EB632-4303-4F4F-A9E4-94C2EF087B21}">
  <sheetPr codeName="Sheet10"/>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16" sqref="F16"/>
    </sheetView>
  </sheetViews>
  <sheetFormatPr defaultRowHeight="18.75"/>
  <cols>
    <col min="1" max="3" width="5.625" style="2" customWidth="1"/>
    <col min="4" max="4" width="96.875" style="1" customWidth="1"/>
    <col min="5" max="7" width="6.5" customWidth="1"/>
  </cols>
  <sheetData>
    <row r="1" spans="1:10">
      <c r="A1" s="4" t="s">
        <v>0</v>
      </c>
      <c r="B1" s="4"/>
      <c r="C1" s="4"/>
      <c r="D1" s="1" t="s">
        <v>17</v>
      </c>
    </row>
    <row r="2" spans="1:10">
      <c r="A2" s="4" t="s">
        <v>2</v>
      </c>
      <c r="B2" s="4"/>
      <c r="C2" s="4"/>
      <c r="D2" s="3" t="s">
        <v>28</v>
      </c>
      <c r="F2">
        <f>SUM(F4:F1000)</f>
        <v>35</v>
      </c>
      <c r="G2">
        <f>SUM(G4:G1000)</f>
        <v>50</v>
      </c>
    </row>
    <row r="3" spans="1:10">
      <c r="A3" s="4" t="s">
        <v>1</v>
      </c>
      <c r="B3" s="4"/>
      <c r="C3" s="4"/>
      <c r="D3" s="1" t="s">
        <v>3</v>
      </c>
      <c r="E3" t="s">
        <v>6</v>
      </c>
      <c r="F3" t="s">
        <v>4</v>
      </c>
      <c r="G3" t="s">
        <v>5</v>
      </c>
    </row>
    <row r="4" spans="1:10">
      <c r="A4" s="2" t="s">
        <v>18</v>
      </c>
      <c r="C4" s="2" t="s">
        <v>22</v>
      </c>
      <c r="D4" s="1" t="s">
        <v>53</v>
      </c>
      <c r="E4">
        <f>IF(D4&lt;&gt;"",LEN(D4),"")</f>
        <v>3</v>
      </c>
      <c r="F4">
        <v>2</v>
      </c>
      <c r="G4">
        <v>2</v>
      </c>
      <c r="H4" t="s">
        <v>45</v>
      </c>
      <c r="J4" t="s">
        <v>205</v>
      </c>
    </row>
    <row r="5" spans="1:10">
      <c r="C5" s="2" t="s">
        <v>23</v>
      </c>
      <c r="D5" s="1" t="s">
        <v>54</v>
      </c>
      <c r="E5">
        <f t="shared" ref="E5:E68" si="0">IF(D5&lt;&gt;"",LEN(D5),"")</f>
        <v>5</v>
      </c>
      <c r="F5">
        <v>2</v>
      </c>
      <c r="G5">
        <v>2</v>
      </c>
      <c r="H5" t="s">
        <v>46</v>
      </c>
      <c r="J5" t="s">
        <v>206</v>
      </c>
    </row>
    <row r="6" spans="1:10">
      <c r="C6" s="2" t="s">
        <v>24</v>
      </c>
      <c r="D6" s="1" t="s">
        <v>55</v>
      </c>
      <c r="E6">
        <f t="shared" si="0"/>
        <v>6</v>
      </c>
      <c r="F6">
        <v>2</v>
      </c>
      <c r="G6">
        <v>2</v>
      </c>
      <c r="H6" t="s">
        <v>47</v>
      </c>
      <c r="J6" t="s">
        <v>207</v>
      </c>
    </row>
    <row r="7" spans="1:10">
      <c r="C7" s="2" t="s">
        <v>25</v>
      </c>
      <c r="D7" s="1" t="s">
        <v>56</v>
      </c>
      <c r="E7">
        <f t="shared" si="0"/>
        <v>6</v>
      </c>
      <c r="F7">
        <v>2</v>
      </c>
      <c r="G7">
        <v>2</v>
      </c>
      <c r="H7" t="s">
        <v>48</v>
      </c>
      <c r="J7" t="s">
        <v>208</v>
      </c>
    </row>
    <row r="8" spans="1:10">
      <c r="C8" s="2" t="s">
        <v>26</v>
      </c>
      <c r="D8" s="1" t="s">
        <v>211</v>
      </c>
      <c r="E8">
        <f t="shared" si="0"/>
        <v>7</v>
      </c>
      <c r="F8">
        <v>2</v>
      </c>
      <c r="G8">
        <v>2</v>
      </c>
      <c r="H8" t="s">
        <v>49</v>
      </c>
      <c r="J8" t="s">
        <v>209</v>
      </c>
    </row>
    <row r="9" spans="1:10">
      <c r="A9" s="2" t="s">
        <v>28</v>
      </c>
      <c r="B9" s="2" t="s">
        <v>18</v>
      </c>
      <c r="D9" s="1" t="s">
        <v>58</v>
      </c>
      <c r="E9">
        <f t="shared" si="0"/>
        <v>4</v>
      </c>
      <c r="F9">
        <v>5</v>
      </c>
      <c r="G9">
        <v>5</v>
      </c>
      <c r="H9" t="s">
        <v>50</v>
      </c>
      <c r="J9" t="s">
        <v>210</v>
      </c>
    </row>
    <row r="10" spans="1:10">
      <c r="B10" s="2" t="s">
        <v>28</v>
      </c>
      <c r="D10" s="1" t="s">
        <v>212</v>
      </c>
      <c r="E10">
        <f t="shared" si="0"/>
        <v>19</v>
      </c>
      <c r="F10">
        <v>5</v>
      </c>
      <c r="G10">
        <v>5</v>
      </c>
      <c r="H10" t="s">
        <v>51</v>
      </c>
      <c r="J10" t="s">
        <v>219</v>
      </c>
    </row>
    <row r="11" spans="1:10">
      <c r="A11" s="2" t="s">
        <v>29</v>
      </c>
      <c r="B11" s="2" t="s">
        <v>18</v>
      </c>
      <c r="D11" s="1" t="s">
        <v>214</v>
      </c>
      <c r="E11">
        <f t="shared" si="0"/>
        <v>12</v>
      </c>
      <c r="F11">
        <v>2</v>
      </c>
      <c r="G11">
        <v>4</v>
      </c>
      <c r="H11" t="s">
        <v>52</v>
      </c>
      <c r="J11" t="s">
        <v>220</v>
      </c>
    </row>
    <row r="12" spans="1:10">
      <c r="B12" s="2" t="s">
        <v>28</v>
      </c>
      <c r="D12" s="1" t="s">
        <v>215</v>
      </c>
      <c r="E12">
        <f t="shared" si="0"/>
        <v>10</v>
      </c>
      <c r="F12">
        <v>5</v>
      </c>
      <c r="G12">
        <v>5</v>
      </c>
      <c r="H12" t="s">
        <v>213</v>
      </c>
    </row>
    <row r="13" spans="1:10">
      <c r="B13" s="2" t="s">
        <v>29</v>
      </c>
      <c r="D13" s="1" t="s">
        <v>217</v>
      </c>
      <c r="E13">
        <f t="shared" si="0"/>
        <v>15</v>
      </c>
      <c r="F13">
        <v>2</v>
      </c>
      <c r="G13">
        <v>5</v>
      </c>
      <c r="H13" t="s">
        <v>216</v>
      </c>
    </row>
    <row r="14" spans="1:10">
      <c r="A14" s="2" t="s">
        <v>30</v>
      </c>
      <c r="B14" s="2" t="s">
        <v>18</v>
      </c>
      <c r="D14" s="1" t="s">
        <v>218</v>
      </c>
      <c r="E14">
        <f t="shared" si="0"/>
        <v>24</v>
      </c>
      <c r="F14">
        <v>5</v>
      </c>
      <c r="G14">
        <v>5</v>
      </c>
    </row>
    <row r="15" spans="1:10">
      <c r="B15" s="2" t="s">
        <v>28</v>
      </c>
      <c r="D15" s="1" t="s">
        <v>221</v>
      </c>
      <c r="E15">
        <f t="shared" si="0"/>
        <v>9</v>
      </c>
      <c r="F15">
        <v>1</v>
      </c>
      <c r="G15">
        <v>5</v>
      </c>
    </row>
    <row r="16" spans="1:10">
      <c r="B16" s="2" t="s">
        <v>29</v>
      </c>
      <c r="C16" s="2" t="s">
        <v>18</v>
      </c>
      <c r="D16" s="1" t="s">
        <v>222</v>
      </c>
      <c r="E16">
        <f t="shared" si="0"/>
        <v>7</v>
      </c>
      <c r="F16">
        <v>0</v>
      </c>
      <c r="G16">
        <v>3</v>
      </c>
    </row>
    <row r="17" spans="3:7">
      <c r="C17" s="2" t="s">
        <v>28</v>
      </c>
      <c r="D17" s="1" t="s">
        <v>223</v>
      </c>
      <c r="E17">
        <f t="shared" si="0"/>
        <v>20</v>
      </c>
      <c r="F17">
        <v>0</v>
      </c>
      <c r="G17">
        <v>3</v>
      </c>
    </row>
    <row r="18" spans="3:7">
      <c r="E18" t="str">
        <f t="shared" si="0"/>
        <v/>
      </c>
    </row>
    <row r="19" spans="3:7">
      <c r="E19" t="str">
        <f t="shared" si="0"/>
        <v/>
      </c>
    </row>
    <row r="20" spans="3:7">
      <c r="E20" t="str">
        <f t="shared" si="0"/>
        <v/>
      </c>
    </row>
    <row r="21" spans="3:7">
      <c r="E21" t="str">
        <f t="shared" si="0"/>
        <v/>
      </c>
    </row>
    <row r="22" spans="3:7">
      <c r="E22" t="str">
        <f t="shared" si="0"/>
        <v/>
      </c>
    </row>
    <row r="23" spans="3:7">
      <c r="E23" t="str">
        <f t="shared" si="0"/>
        <v/>
      </c>
    </row>
    <row r="24" spans="3:7">
      <c r="E24" t="str">
        <f t="shared" si="0"/>
        <v/>
      </c>
    </row>
    <row r="25" spans="3:7">
      <c r="E25" t="str">
        <f t="shared" si="0"/>
        <v/>
      </c>
    </row>
    <row r="26" spans="3:7">
      <c r="E26" t="str">
        <f t="shared" si="0"/>
        <v/>
      </c>
    </row>
    <row r="27" spans="3:7">
      <c r="E27" t="str">
        <f t="shared" si="0"/>
        <v/>
      </c>
    </row>
    <row r="28" spans="3:7">
      <c r="E28" t="str">
        <f t="shared" si="0"/>
        <v/>
      </c>
    </row>
    <row r="29" spans="3:7">
      <c r="E29" t="str">
        <f t="shared" si="0"/>
        <v/>
      </c>
    </row>
    <row r="30" spans="3:7">
      <c r="E30" t="str">
        <f t="shared" si="0"/>
        <v/>
      </c>
    </row>
    <row r="31" spans="3:7">
      <c r="E31" t="str">
        <f t="shared" si="0"/>
        <v/>
      </c>
    </row>
    <row r="32" spans="3: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B138E-AADC-4F77-808D-7835F798F0C2}">
  <sheetPr codeName="Sheet6"/>
  <dimension ref="A1:L167"/>
  <sheetViews>
    <sheetView zoomScale="85" zoomScaleNormal="85" workbookViewId="0">
      <pane xSplit="1" ySplit="3" topLeftCell="B4" activePane="bottomRight" state="frozen"/>
      <selection pane="topRight" activeCell="B1" sqref="B1"/>
      <selection pane="bottomLeft" activeCell="A4" sqref="A4"/>
      <selection pane="bottomRight" activeCell="F9" sqref="F9"/>
    </sheetView>
  </sheetViews>
  <sheetFormatPr defaultRowHeight="18.75"/>
  <cols>
    <col min="1" max="3" width="4.5" style="2" customWidth="1"/>
    <col min="4" max="4" width="80.25" style="1" customWidth="1"/>
    <col min="5" max="7" width="7.375" customWidth="1"/>
  </cols>
  <sheetData>
    <row r="1" spans="1:12">
      <c r="A1" s="4" t="s">
        <v>0</v>
      </c>
      <c r="B1" s="4"/>
      <c r="C1" s="4"/>
      <c r="D1" s="1" t="s">
        <v>17</v>
      </c>
    </row>
    <row r="2" spans="1:12">
      <c r="A2" s="4" t="s">
        <v>2</v>
      </c>
      <c r="B2" s="4"/>
      <c r="C2" s="4"/>
      <c r="D2" s="3" t="s">
        <v>29</v>
      </c>
      <c r="F2">
        <f>SUM(F4:F1000)</f>
        <v>26</v>
      </c>
      <c r="G2">
        <f>SUM(G4:G1000)</f>
        <v>50</v>
      </c>
    </row>
    <row r="3" spans="1:12">
      <c r="A3" s="4" t="s">
        <v>1</v>
      </c>
      <c r="B3" s="4"/>
      <c r="C3" s="4"/>
      <c r="D3" s="1" t="s">
        <v>3</v>
      </c>
      <c r="E3" t="s">
        <v>6</v>
      </c>
      <c r="F3" t="s">
        <v>4</v>
      </c>
      <c r="G3" t="s">
        <v>5</v>
      </c>
    </row>
    <row r="4" spans="1:12">
      <c r="A4" s="2" t="s">
        <v>18</v>
      </c>
      <c r="B4" s="2" t="s">
        <v>18</v>
      </c>
      <c r="C4" s="2" t="s">
        <v>67</v>
      </c>
      <c r="D4" s="1" t="s">
        <v>227</v>
      </c>
      <c r="E4">
        <f>IF(D4&lt;&gt;"",LEN(D4),"")</f>
        <v>5</v>
      </c>
      <c r="F4">
        <v>4</v>
      </c>
      <c r="G4">
        <v>4</v>
      </c>
      <c r="H4" t="s">
        <v>72</v>
      </c>
      <c r="J4" t="s">
        <v>79</v>
      </c>
      <c r="L4" t="s">
        <v>224</v>
      </c>
    </row>
    <row r="5" spans="1:12">
      <c r="C5" s="2" t="s">
        <v>68</v>
      </c>
      <c r="D5" s="1" t="s">
        <v>228</v>
      </c>
      <c r="E5">
        <f t="shared" ref="E5:E68" si="0">IF(D5&lt;&gt;"",LEN(D5),"")</f>
        <v>6</v>
      </c>
      <c r="F5">
        <v>4</v>
      </c>
      <c r="G5">
        <v>4</v>
      </c>
      <c r="H5" t="s">
        <v>73</v>
      </c>
      <c r="J5" t="s">
        <v>80</v>
      </c>
      <c r="L5" t="s">
        <v>225</v>
      </c>
    </row>
    <row r="6" spans="1:12">
      <c r="C6" s="2" t="s">
        <v>69</v>
      </c>
      <c r="D6" s="1" t="s">
        <v>230</v>
      </c>
      <c r="E6">
        <f t="shared" si="0"/>
        <v>3</v>
      </c>
      <c r="F6">
        <v>0</v>
      </c>
      <c r="G6">
        <v>4</v>
      </c>
      <c r="H6" t="s">
        <v>74</v>
      </c>
      <c r="J6" t="s">
        <v>81</v>
      </c>
      <c r="L6" t="s">
        <v>226</v>
      </c>
    </row>
    <row r="7" spans="1:12">
      <c r="B7" s="2" t="s">
        <v>28</v>
      </c>
      <c r="D7" s="1" t="s">
        <v>231</v>
      </c>
      <c r="E7">
        <f t="shared" si="0"/>
        <v>3</v>
      </c>
      <c r="F7">
        <v>5</v>
      </c>
      <c r="G7">
        <v>5</v>
      </c>
      <c r="H7" t="s">
        <v>75</v>
      </c>
      <c r="J7" t="s">
        <v>82</v>
      </c>
      <c r="L7" t="s">
        <v>229</v>
      </c>
    </row>
    <row r="8" spans="1:12">
      <c r="B8" s="2" t="s">
        <v>29</v>
      </c>
      <c r="D8" s="1" t="s">
        <v>231</v>
      </c>
      <c r="E8">
        <f t="shared" si="0"/>
        <v>3</v>
      </c>
      <c r="F8">
        <v>5</v>
      </c>
      <c r="G8">
        <v>5</v>
      </c>
      <c r="H8" t="s">
        <v>76</v>
      </c>
    </row>
    <row r="9" spans="1:12">
      <c r="B9" s="2" t="s">
        <v>30</v>
      </c>
      <c r="D9" s="1" t="s">
        <v>232</v>
      </c>
      <c r="E9">
        <f t="shared" si="0"/>
        <v>32</v>
      </c>
      <c r="F9">
        <v>8</v>
      </c>
      <c r="G9">
        <v>8</v>
      </c>
      <c r="H9" t="s">
        <v>77</v>
      </c>
    </row>
    <row r="10" spans="1:12">
      <c r="B10" s="2" t="s">
        <v>70</v>
      </c>
      <c r="D10" s="1" t="s">
        <v>233</v>
      </c>
      <c r="E10">
        <f t="shared" si="0"/>
        <v>22</v>
      </c>
      <c r="F10">
        <v>0</v>
      </c>
      <c r="G10">
        <v>10</v>
      </c>
      <c r="H10" t="s">
        <v>78</v>
      </c>
    </row>
    <row r="11" spans="1:12">
      <c r="B11" s="2" t="s">
        <v>71</v>
      </c>
      <c r="D11" s="1" t="s">
        <v>234</v>
      </c>
      <c r="E11">
        <f t="shared" si="0"/>
        <v>42</v>
      </c>
      <c r="F11">
        <v>0</v>
      </c>
      <c r="G11">
        <v>10</v>
      </c>
    </row>
    <row r="12" spans="1:12">
      <c r="E12" t="str">
        <f t="shared" si="0"/>
        <v/>
      </c>
    </row>
    <row r="13" spans="1:12">
      <c r="E13" t="str">
        <f t="shared" si="0"/>
        <v/>
      </c>
    </row>
    <row r="14" spans="1:12">
      <c r="E14" t="str">
        <f t="shared" si="0"/>
        <v/>
      </c>
    </row>
    <row r="15" spans="1:12">
      <c r="E15" t="str">
        <f t="shared" si="0"/>
        <v/>
      </c>
    </row>
    <row r="16" spans="1:12">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0996D-C170-4DFD-86AE-B2A64D643C53}">
  <sheetPr codeName="Sheet12"/>
  <dimension ref="A1:L167"/>
  <sheetViews>
    <sheetView tabSelected="1" zoomScale="85" zoomScaleNormal="85" workbookViewId="0">
      <pane xSplit="1" ySplit="3" topLeftCell="B4" activePane="bottomRight" state="frozen"/>
      <selection pane="topRight" activeCell="B1" sqref="B1"/>
      <selection pane="bottomLeft" activeCell="A4" sqref="A4"/>
      <selection pane="bottomRight" activeCell="F20" sqref="F20"/>
    </sheetView>
  </sheetViews>
  <sheetFormatPr defaultRowHeight="18.75"/>
  <cols>
    <col min="1" max="3" width="4.625" style="2" customWidth="1"/>
    <col min="4" max="4" width="88.25" style="1" customWidth="1"/>
    <col min="5" max="5" width="9.75" customWidth="1"/>
  </cols>
  <sheetData>
    <row r="1" spans="1:12">
      <c r="A1" s="4" t="s">
        <v>0</v>
      </c>
      <c r="B1" s="4"/>
      <c r="C1" s="4"/>
      <c r="D1" s="1" t="s">
        <v>17</v>
      </c>
    </row>
    <row r="2" spans="1:12">
      <c r="A2" s="4" t="s">
        <v>2</v>
      </c>
      <c r="B2" s="4"/>
      <c r="C2" s="4"/>
      <c r="D2" s="3" t="s">
        <v>30</v>
      </c>
      <c r="F2">
        <f>SUM(F4:F1000)</f>
        <v>50</v>
      </c>
      <c r="G2">
        <f>SUM(G4:G1000)</f>
        <v>50</v>
      </c>
    </row>
    <row r="3" spans="1:12">
      <c r="A3" s="4" t="s">
        <v>1</v>
      </c>
      <c r="B3" s="4"/>
      <c r="C3" s="4"/>
      <c r="D3" s="1" t="s">
        <v>3</v>
      </c>
      <c r="E3" t="s">
        <v>6</v>
      </c>
      <c r="F3" t="s">
        <v>4</v>
      </c>
      <c r="G3" t="s">
        <v>5</v>
      </c>
    </row>
    <row r="4" spans="1:12">
      <c r="A4" s="2" t="s">
        <v>18</v>
      </c>
      <c r="B4" s="2" t="s">
        <v>18</v>
      </c>
      <c r="C4" s="2" t="s">
        <v>67</v>
      </c>
      <c r="D4" s="1" t="s">
        <v>104</v>
      </c>
      <c r="E4">
        <f>IF(D4&lt;&gt;"",LEN(D4),"")</f>
        <v>3</v>
      </c>
      <c r="F4">
        <v>2</v>
      </c>
      <c r="G4">
        <v>2</v>
      </c>
      <c r="H4" t="s">
        <v>89</v>
      </c>
      <c r="J4" t="s">
        <v>98</v>
      </c>
      <c r="L4" t="s">
        <v>235</v>
      </c>
    </row>
    <row r="5" spans="1:12">
      <c r="C5" s="2" t="s">
        <v>68</v>
      </c>
      <c r="D5" s="1" t="s">
        <v>106</v>
      </c>
      <c r="E5">
        <f t="shared" ref="E5:E68" si="0">IF(D5&lt;&gt;"",LEN(D5),"")</f>
        <v>3</v>
      </c>
      <c r="F5">
        <v>2</v>
      </c>
      <c r="G5">
        <v>2</v>
      </c>
      <c r="H5" t="s">
        <v>90</v>
      </c>
      <c r="J5" t="s">
        <v>99</v>
      </c>
      <c r="L5" t="s">
        <v>236</v>
      </c>
    </row>
    <row r="6" spans="1:12">
      <c r="C6" s="2" t="s">
        <v>69</v>
      </c>
      <c r="D6" s="1" t="s">
        <v>107</v>
      </c>
      <c r="E6">
        <f t="shared" si="0"/>
        <v>3</v>
      </c>
      <c r="F6">
        <v>2</v>
      </c>
      <c r="G6">
        <v>2</v>
      </c>
      <c r="H6" t="s">
        <v>91</v>
      </c>
      <c r="J6" t="s">
        <v>100</v>
      </c>
      <c r="L6" t="s">
        <v>237</v>
      </c>
    </row>
    <row r="7" spans="1:12">
      <c r="C7" s="2" t="s">
        <v>83</v>
      </c>
      <c r="D7" s="1" t="s">
        <v>244</v>
      </c>
      <c r="E7">
        <f t="shared" si="0"/>
        <v>6</v>
      </c>
      <c r="F7">
        <v>2</v>
      </c>
      <c r="G7">
        <v>2</v>
      </c>
      <c r="H7" t="s">
        <v>92</v>
      </c>
      <c r="J7" t="s">
        <v>101</v>
      </c>
      <c r="L7" t="s">
        <v>238</v>
      </c>
    </row>
    <row r="8" spans="1:12">
      <c r="C8" s="2" t="s">
        <v>84</v>
      </c>
      <c r="D8" s="1" t="s">
        <v>245</v>
      </c>
      <c r="E8">
        <f t="shared" si="0"/>
        <v>10</v>
      </c>
      <c r="F8">
        <v>2</v>
      </c>
      <c r="G8">
        <v>2</v>
      </c>
      <c r="H8" t="s">
        <v>93</v>
      </c>
      <c r="J8" t="s">
        <v>102</v>
      </c>
      <c r="L8" t="s">
        <v>93</v>
      </c>
    </row>
    <row r="9" spans="1:12">
      <c r="A9" s="2" t="s">
        <v>28</v>
      </c>
      <c r="D9" s="1" t="s">
        <v>241</v>
      </c>
      <c r="E9">
        <f t="shared" si="0"/>
        <v>18</v>
      </c>
      <c r="F9">
        <v>4</v>
      </c>
      <c r="G9">
        <v>4</v>
      </c>
      <c r="H9" t="s">
        <v>94</v>
      </c>
      <c r="J9" t="s">
        <v>103</v>
      </c>
      <c r="L9" t="s">
        <v>239</v>
      </c>
    </row>
    <row r="10" spans="1:12">
      <c r="A10" s="2" t="s">
        <v>29</v>
      </c>
      <c r="B10" s="2" t="s">
        <v>18</v>
      </c>
      <c r="D10" s="1" t="s">
        <v>242</v>
      </c>
      <c r="E10">
        <f t="shared" si="0"/>
        <v>19</v>
      </c>
      <c r="F10">
        <v>3</v>
      </c>
      <c r="G10">
        <v>3</v>
      </c>
      <c r="H10" t="s">
        <v>95</v>
      </c>
      <c r="J10" t="s">
        <v>105</v>
      </c>
      <c r="L10" t="s">
        <v>240</v>
      </c>
    </row>
    <row r="11" spans="1:12">
      <c r="B11" s="2" t="s">
        <v>28</v>
      </c>
      <c r="D11" s="1" t="s">
        <v>243</v>
      </c>
      <c r="E11">
        <f t="shared" si="0"/>
        <v>4</v>
      </c>
      <c r="F11">
        <v>3</v>
      </c>
      <c r="G11">
        <v>3</v>
      </c>
      <c r="H11" t="s">
        <v>96</v>
      </c>
    </row>
    <row r="12" spans="1:12">
      <c r="B12" s="2" t="s">
        <v>29</v>
      </c>
      <c r="D12" s="1" t="s">
        <v>113</v>
      </c>
      <c r="E12">
        <f t="shared" si="0"/>
        <v>6</v>
      </c>
      <c r="F12">
        <v>3</v>
      </c>
      <c r="G12">
        <v>3</v>
      </c>
      <c r="H12" t="s">
        <v>97</v>
      </c>
      <c r="J12" t="s">
        <v>112</v>
      </c>
    </row>
    <row r="13" spans="1:12">
      <c r="B13" s="2" t="s">
        <v>30</v>
      </c>
      <c r="C13" s="2" t="s">
        <v>85</v>
      </c>
      <c r="D13" s="1" t="s">
        <v>106</v>
      </c>
      <c r="E13">
        <f t="shared" si="0"/>
        <v>3</v>
      </c>
      <c r="F13">
        <v>3</v>
      </c>
      <c r="G13">
        <v>3</v>
      </c>
      <c r="H13" t="s">
        <v>121</v>
      </c>
      <c r="J13" t="s">
        <v>115</v>
      </c>
    </row>
    <row r="14" spans="1:12">
      <c r="C14" s="2" t="s">
        <v>86</v>
      </c>
      <c r="D14" s="1" t="s">
        <v>109</v>
      </c>
      <c r="E14">
        <f t="shared" si="0"/>
        <v>10</v>
      </c>
      <c r="F14">
        <v>3</v>
      </c>
      <c r="G14">
        <v>3</v>
      </c>
      <c r="H14" t="s">
        <v>122</v>
      </c>
      <c r="J14" t="s">
        <v>116</v>
      </c>
    </row>
    <row r="15" spans="1:12">
      <c r="A15" s="2" t="s">
        <v>30</v>
      </c>
      <c r="B15" s="2" t="s">
        <v>18</v>
      </c>
      <c r="D15" s="1" t="s">
        <v>118</v>
      </c>
      <c r="E15">
        <f t="shared" si="0"/>
        <v>5</v>
      </c>
      <c r="F15">
        <v>4</v>
      </c>
      <c r="G15">
        <v>4</v>
      </c>
      <c r="J15" t="s">
        <v>117</v>
      </c>
    </row>
    <row r="16" spans="1:12">
      <c r="B16" s="2" t="s">
        <v>28</v>
      </c>
      <c r="C16" s="2" t="s">
        <v>18</v>
      </c>
      <c r="D16" s="1" t="s">
        <v>106</v>
      </c>
      <c r="E16">
        <f t="shared" si="0"/>
        <v>3</v>
      </c>
      <c r="F16">
        <v>3</v>
      </c>
      <c r="G16">
        <v>3</v>
      </c>
    </row>
    <row r="17" spans="2:7">
      <c r="C17" s="2" t="s">
        <v>28</v>
      </c>
      <c r="D17" s="1" t="s">
        <v>123</v>
      </c>
      <c r="E17">
        <f t="shared" si="0"/>
        <v>5</v>
      </c>
      <c r="F17">
        <v>3</v>
      </c>
      <c r="G17">
        <v>3</v>
      </c>
    </row>
    <row r="18" spans="2:7">
      <c r="C18" s="2" t="s">
        <v>87</v>
      </c>
      <c r="D18" s="1" t="s">
        <v>246</v>
      </c>
      <c r="E18">
        <f t="shared" si="0"/>
        <v>15</v>
      </c>
      <c r="F18">
        <v>4</v>
      </c>
      <c r="G18">
        <v>4</v>
      </c>
    </row>
    <row r="19" spans="2:7">
      <c r="B19" s="2" t="s">
        <v>29</v>
      </c>
      <c r="C19" s="2" t="s">
        <v>88</v>
      </c>
      <c r="D19" s="1" t="s">
        <v>123</v>
      </c>
      <c r="E19">
        <f t="shared" si="0"/>
        <v>5</v>
      </c>
      <c r="F19">
        <v>3</v>
      </c>
      <c r="G19">
        <v>3</v>
      </c>
    </row>
    <row r="20" spans="2:7">
      <c r="C20" s="2" t="s">
        <v>87</v>
      </c>
      <c r="D20" s="1" t="s">
        <v>247</v>
      </c>
      <c r="E20">
        <f t="shared" si="0"/>
        <v>20</v>
      </c>
      <c r="F20">
        <v>4</v>
      </c>
      <c r="G20">
        <v>4</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format</vt:lpstr>
      <vt:lpstr>レビュー</vt:lpstr>
      <vt:lpstr>1</vt:lpstr>
      <vt:lpstr>2</vt:lpstr>
      <vt:lpstr>3</vt:lpstr>
      <vt:lpstr>4</vt:lpstr>
      <vt:lpstr>5</vt:lpstr>
      <vt:lpstr>1_2</vt:lpstr>
      <vt:lpstr>2_2</vt:lpstr>
      <vt:lpstr>3_2</vt:lpstr>
      <vt:lpstr>4_2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2026-08-23T10:00:43Z</dcterms:modified>
</cp:coreProperties>
</file>