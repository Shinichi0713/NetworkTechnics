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8B3E5F0E-B5F2-4FCD-83B0-9F5DF8F95B80}" xr6:coauthVersionLast="47" xr6:coauthVersionMax="47" xr10:uidLastSave="{00000000-0000-0000-0000-000000000000}"/>
  <bookViews>
    <workbookView xWindow="9615" yWindow="0" windowWidth="19215" windowHeight="15585" activeTab="8" xr2:uid="{00000000-000D-0000-FFFF-FFFF00000000}"/>
  </bookViews>
  <sheets>
    <sheet name="format" sheetId="6" r:id="rId1"/>
    <sheet name="レビュー" sheetId="2" r:id="rId2"/>
    <sheet name="1" sheetId="5" r:id="rId3"/>
    <sheet name="2" sheetId="4" r:id="rId4"/>
    <sheet name="3" sheetId="7" r:id="rId5"/>
    <sheet name="4" sheetId="8" r:id="rId6"/>
    <sheet name="5" sheetId="9" r:id="rId7"/>
    <sheet name="1_2" sheetId="10" r:id="rId8"/>
    <sheet name="2_2" sheetId="11" r:id="rId9"/>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7" i="11" l="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G2" i="9"/>
  <c r="F2" i="9"/>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G2" i="8"/>
  <c r="F2" i="8"/>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G2" i="7"/>
  <c r="F2" i="7"/>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G2" i="6"/>
  <c r="F2" i="6"/>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G2" i="5"/>
  <c r="F2" i="5"/>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G2" i="4"/>
  <c r="F2" i="4"/>
</calcChain>
</file>

<file path=xl/sharedStrings.xml><?xml version="1.0" encoding="utf-8"?>
<sst xmlns="http://schemas.openxmlformats.org/spreadsheetml/2006/main" count="421" uniqueCount="233">
  <si>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</si>
  <si>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</si>
  <si>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</si>
  <si>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</si>
  <si>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</si>
  <si>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</si>
  <si>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</si>
  <si>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</si>
  <si>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</si>
  <si>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</si>
  <si>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</si>
  <si>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</si>
  <si>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</si>
  <si>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10-1</t>
  </si>
  <si>
    <t>10-2</t>
  </si>
  <si>
    <t>10-1-rev</t>
  </si>
  <si>
    <t>10-2-rev</t>
  </si>
  <si>
    <t>重点対策</t>
    <rPh sb="0" eb="4">
      <t>ジュウテンタイサク</t>
    </rPh>
    <phoneticPr fontId="1"/>
  </si>
  <si>
    <t>1</t>
    <phoneticPr fontId="1"/>
  </si>
  <si>
    <t>K社は加工食品販売会社</t>
    <rPh sb="1" eb="2">
      <t>シャ</t>
    </rPh>
    <rPh sb="3" eb="7">
      <t>カコウショクヒン</t>
    </rPh>
    <rPh sb="7" eb="9">
      <t>ハンバイ</t>
    </rPh>
    <rPh sb="9" eb="11">
      <t>カイシャ</t>
    </rPh>
    <phoneticPr fontId="1"/>
  </si>
  <si>
    <t>販売間ンりシステムを更新する予定</t>
    <rPh sb="0" eb="3">
      <t>ハンバイカン</t>
    </rPh>
    <rPh sb="10" eb="12">
      <t>コウシン</t>
    </rPh>
    <rPh sb="14" eb="16">
      <t>ヨテイ</t>
    </rPh>
    <phoneticPr fontId="1"/>
  </si>
  <si>
    <t>L社クラウド</t>
    <rPh sb="1" eb="2">
      <t>シャ</t>
    </rPh>
    <phoneticPr fontId="1"/>
  </si>
  <si>
    <t>ア</t>
    <phoneticPr fontId="1"/>
  </si>
  <si>
    <t>イ</t>
    <phoneticPr fontId="1"/>
  </si>
  <si>
    <t>ウ</t>
    <phoneticPr fontId="1"/>
  </si>
  <si>
    <t>エ</t>
    <phoneticPr fontId="1"/>
  </si>
  <si>
    <t>オ</t>
    <phoneticPr fontId="1"/>
  </si>
  <si>
    <t>カ</t>
    <phoneticPr fontId="1"/>
  </si>
  <si>
    <t>2</t>
    <phoneticPr fontId="1"/>
  </si>
  <si>
    <t>3</t>
    <phoneticPr fontId="1"/>
  </si>
  <si>
    <t>4</t>
    <phoneticPr fontId="1"/>
  </si>
  <si>
    <t>NAPT</t>
    <phoneticPr fontId="1"/>
  </si>
  <si>
    <t>VPNルータ</t>
    <phoneticPr fontId="1"/>
  </si>
  <si>
    <t>事前共有鍵</t>
    <rPh sb="0" eb="5">
      <t>ジゼンキョウユウカギ</t>
    </rPh>
    <phoneticPr fontId="1"/>
  </si>
  <si>
    <t>暗号化対象の通信がグローバルIPアドレスの区間のため</t>
    <rPh sb="0" eb="3">
      <t>アンゴウカ</t>
    </rPh>
    <rPh sb="3" eb="5">
      <t>タイショウ</t>
    </rPh>
    <rPh sb="6" eb="8">
      <t>ツウシン</t>
    </rPh>
    <rPh sb="21" eb="23">
      <t>クカン</t>
    </rPh>
    <phoneticPr fontId="1"/>
  </si>
  <si>
    <t>フラグメントとリアセンブルの処理が発生する。</t>
    <rPh sb="14" eb="16">
      <t>ショリ</t>
    </rPh>
    <rPh sb="17" eb="19">
      <t>ハッセイ</t>
    </rPh>
    <phoneticPr fontId="1"/>
  </si>
  <si>
    <t>BGPにより回線断や機器障害を検知し、トラフィックを迂回できるため</t>
    <rPh sb="6" eb="9">
      <t>カイセンダン</t>
    </rPh>
    <rPh sb="10" eb="14">
      <t>キキショウガイ</t>
    </rPh>
    <rPh sb="15" eb="17">
      <t>ケンチ</t>
    </rPh>
    <rPh sb="26" eb="28">
      <t>ウカイ</t>
    </rPh>
    <phoneticPr fontId="1"/>
  </si>
  <si>
    <t>Helloパケットを出す必要がない</t>
    <rPh sb="10" eb="11">
      <t>ダ</t>
    </rPh>
    <rPh sb="12" eb="14">
      <t>ヒツヨウ</t>
    </rPh>
    <phoneticPr fontId="1"/>
  </si>
  <si>
    <t>AS</t>
    <phoneticPr fontId="1"/>
  </si>
  <si>
    <t>ICMP</t>
    <phoneticPr fontId="1"/>
  </si>
  <si>
    <t>大きく</t>
    <rPh sb="0" eb="1">
      <t>オオ</t>
    </rPh>
    <phoneticPr fontId="1"/>
  </si>
  <si>
    <t>eBGPからOSPFへ再配布された経路をeBGPへ再配布しない</t>
    <rPh sb="11" eb="14">
      <t>サイハイフ</t>
    </rPh>
    <rPh sb="17" eb="19">
      <t>ケイロ</t>
    </rPh>
    <rPh sb="25" eb="28">
      <t>サイハイフ</t>
    </rPh>
    <phoneticPr fontId="1"/>
  </si>
  <si>
    <t>ネットワークの冗長構成が失われたことを検出すいるため</t>
    <rPh sb="7" eb="11">
      <t>ジョウチョウコウセイ</t>
    </rPh>
    <rPh sb="12" eb="13">
      <t>ウシナ</t>
    </rPh>
    <rPh sb="19" eb="21">
      <t>ケンシュツ</t>
    </rPh>
    <phoneticPr fontId="1"/>
  </si>
  <si>
    <t>TCP</t>
    <phoneticPr fontId="1"/>
  </si>
  <si>
    <t>echo reply</t>
    <phoneticPr fontId="1"/>
  </si>
  <si>
    <t>社内ネットワーク</t>
    <rPh sb="0" eb="2">
      <t>シャナイ</t>
    </rPh>
    <phoneticPr fontId="1"/>
  </si>
  <si>
    <t>WANの見直し</t>
    <rPh sb="4" eb="6">
      <t>ミナオ</t>
    </rPh>
    <phoneticPr fontId="1"/>
  </si>
  <si>
    <t>コスト見直し</t>
    <rPh sb="3" eb="5">
      <t>ミナオ</t>
    </rPh>
    <phoneticPr fontId="1"/>
  </si>
  <si>
    <t>IP-VPNを利用</t>
    <rPh sb="7" eb="9">
      <t>リヨウ</t>
    </rPh>
    <phoneticPr fontId="1"/>
  </si>
  <si>
    <t>イーサネット回線</t>
    <rPh sb="6" eb="8">
      <t>カイセン</t>
    </rPh>
    <phoneticPr fontId="1"/>
  </si>
  <si>
    <t>IpsecのVPN</t>
    <phoneticPr fontId="1"/>
  </si>
  <si>
    <t>VPN専用の回線を解説しFW</t>
    <rPh sb="3" eb="5">
      <t>センヨウ</t>
    </rPh>
    <rPh sb="6" eb="8">
      <t>カイセン</t>
    </rPh>
    <rPh sb="9" eb="11">
      <t>カイセツ</t>
    </rPh>
    <phoneticPr fontId="1"/>
  </si>
  <si>
    <t>IP-VPNはIPネットワークをトラフィック交換に提供する</t>
    <rPh sb="22" eb="24">
      <t>コウカン</t>
    </rPh>
    <rPh sb="25" eb="27">
      <t>テイキョウ</t>
    </rPh>
    <phoneticPr fontId="1"/>
  </si>
  <si>
    <t>ラベル</t>
    <phoneticPr fontId="1"/>
  </si>
  <si>
    <t>PEルータ</t>
    <phoneticPr fontId="1"/>
  </si>
  <si>
    <t>ネットワーク</t>
    <phoneticPr fontId="1"/>
  </si>
  <si>
    <t>IP-VPN</t>
    <phoneticPr fontId="1"/>
  </si>
  <si>
    <t>Internet VPN</t>
    <phoneticPr fontId="1"/>
  </si>
  <si>
    <t>MPLS</t>
    <phoneticPr fontId="1"/>
  </si>
  <si>
    <t>利用者ごとのトラフィックを区別する</t>
    <rPh sb="0" eb="3">
      <t>リヨウシャ</t>
    </rPh>
    <rPh sb="13" eb="15">
      <t>クベツ</t>
    </rPh>
    <phoneticPr fontId="1"/>
  </si>
  <si>
    <t>OSPFのマルチキャスト通信を通すため</t>
    <rPh sb="12" eb="14">
      <t>ツウシン</t>
    </rPh>
    <rPh sb="15" eb="16">
      <t>トオ</t>
    </rPh>
    <phoneticPr fontId="1"/>
  </si>
  <si>
    <t>他の拠点への経路情報</t>
    <rPh sb="0" eb="1">
      <t>ホカ</t>
    </rPh>
    <rPh sb="2" eb="4">
      <t>キョテン</t>
    </rPh>
    <rPh sb="6" eb="10">
      <t>ケイロジョウホウ</t>
    </rPh>
    <phoneticPr fontId="1"/>
  </si>
  <si>
    <t>IP-VPNを優先するようBGP4の経路情報を優先する</t>
    <rPh sb="7" eb="9">
      <t>ユウセン</t>
    </rPh>
    <rPh sb="18" eb="20">
      <t>ケイロ</t>
    </rPh>
    <rPh sb="20" eb="22">
      <t>ジョウホウ</t>
    </rPh>
    <rPh sb="23" eb="25">
      <t>ユウセン</t>
    </rPh>
    <phoneticPr fontId="1"/>
  </si>
  <si>
    <t>新拠点追加時に全拠点の設定変更が必要となるため</t>
    <rPh sb="0" eb="3">
      <t>シンキョテン</t>
    </rPh>
    <rPh sb="3" eb="5">
      <t>ツイカ</t>
    </rPh>
    <rPh sb="5" eb="6">
      <t>ジ</t>
    </rPh>
    <rPh sb="7" eb="10">
      <t>ゼンキョテン</t>
    </rPh>
    <rPh sb="11" eb="13">
      <t>セッテイ</t>
    </rPh>
    <rPh sb="13" eb="15">
      <t>ヘンコウ</t>
    </rPh>
    <rPh sb="16" eb="18">
      <t>ヒツヨウ</t>
    </rPh>
    <phoneticPr fontId="1"/>
  </si>
  <si>
    <t>大阪のFW2のグローバルIPアドレス</t>
    <rPh sb="0" eb="2">
      <t>オオサカ</t>
    </rPh>
    <phoneticPr fontId="1"/>
  </si>
  <si>
    <t>FW2, FW3</t>
    <phoneticPr fontId="1"/>
  </si>
  <si>
    <t>OSPFのPRを0に設定する</t>
    <rPh sb="10" eb="12">
      <t>セッテイ</t>
    </rPh>
    <phoneticPr fontId="1"/>
  </si>
  <si>
    <t>a</t>
    <phoneticPr fontId="1"/>
  </si>
  <si>
    <t>b</t>
    <phoneticPr fontId="1"/>
  </si>
  <si>
    <t>c</t>
    <phoneticPr fontId="1"/>
  </si>
  <si>
    <t>5</t>
    <phoneticPr fontId="1"/>
  </si>
  <si>
    <t>6</t>
    <phoneticPr fontId="1"/>
  </si>
  <si>
    <t>zはデータセンタ</t>
    <phoneticPr fontId="1"/>
  </si>
  <si>
    <t>データセンタビル</t>
    <phoneticPr fontId="1"/>
  </si>
  <si>
    <t>複数フロアに所有</t>
    <rPh sb="0" eb="2">
      <t>フクスウ</t>
    </rPh>
    <rPh sb="6" eb="8">
      <t>ショユウ</t>
    </rPh>
    <phoneticPr fontId="1"/>
  </si>
  <si>
    <t>DCの改修</t>
    <rPh sb="3" eb="5">
      <t>カイシュウ</t>
    </rPh>
    <phoneticPr fontId="1"/>
  </si>
  <si>
    <t>ZDCは冗長性確保のためISPと◎チーム接続</t>
    <rPh sb="4" eb="7">
      <t>ジョウチョウセイ</t>
    </rPh>
    <rPh sb="7" eb="9">
      <t>カクホ</t>
    </rPh>
    <rPh sb="20" eb="22">
      <t>セツゾク</t>
    </rPh>
    <phoneticPr fontId="1"/>
  </si>
  <si>
    <t>ISPとDCは異なるASで接続</t>
    <rPh sb="7" eb="8">
      <t>コト</t>
    </rPh>
    <rPh sb="13" eb="15">
      <t>セツゾク</t>
    </rPh>
    <phoneticPr fontId="1"/>
  </si>
  <si>
    <t>ルータとの上長接続</t>
    <rPh sb="5" eb="7">
      <t>ジョウチョウ</t>
    </rPh>
    <rPh sb="7" eb="9">
      <t>セツゾク</t>
    </rPh>
    <phoneticPr fontId="1"/>
  </si>
  <si>
    <t>BGP-4</t>
    <phoneticPr fontId="1"/>
  </si>
  <si>
    <t>バックボーンエリア</t>
    <phoneticPr fontId="1"/>
  </si>
  <si>
    <t>EGBP</t>
    <phoneticPr fontId="1"/>
  </si>
  <si>
    <t>キケク</t>
    <phoneticPr fontId="1"/>
  </si>
  <si>
    <t xml:space="preserve">sinnsetu </t>
    <phoneticPr fontId="1"/>
  </si>
  <si>
    <t>L2SW</t>
    <phoneticPr fontId="1"/>
  </si>
  <si>
    <t>ni</t>
    <phoneticPr fontId="1"/>
  </si>
  <si>
    <t xml:space="preserve">shuuyou </t>
    <phoneticPr fontId="1"/>
  </si>
  <si>
    <t>通信回線が断線しても、別経路による通信の迂回を行うことが出来るようになる。</t>
    <rPh sb="0" eb="2">
      <t>ツウシン</t>
    </rPh>
    <rPh sb="2" eb="4">
      <t>カイセン</t>
    </rPh>
    <rPh sb="5" eb="7">
      <t>ダンセン</t>
    </rPh>
    <rPh sb="11" eb="12">
      <t>ベツ</t>
    </rPh>
    <rPh sb="12" eb="14">
      <t>ケイロ</t>
    </rPh>
    <rPh sb="17" eb="19">
      <t>ツウシン</t>
    </rPh>
    <rPh sb="20" eb="22">
      <t>ウカイ</t>
    </rPh>
    <rPh sb="23" eb="24">
      <t>オコナ</t>
    </rPh>
    <rPh sb="28" eb="30">
      <t>デキ</t>
    </rPh>
    <phoneticPr fontId="1"/>
  </si>
  <si>
    <t>通信しても、送達が出来ず、いつまでたっても通信が出来ないような状態になる</t>
    <rPh sb="0" eb="2">
      <t>ツウシン</t>
    </rPh>
    <rPh sb="6" eb="8">
      <t>ソウタツ</t>
    </rPh>
    <rPh sb="9" eb="11">
      <t>デキ</t>
    </rPh>
    <rPh sb="21" eb="23">
      <t>ツウシン</t>
    </rPh>
    <rPh sb="24" eb="26">
      <t>デキ</t>
    </rPh>
    <rPh sb="31" eb="33">
      <t>ジョウタイ</t>
    </rPh>
    <phoneticPr fontId="1"/>
  </si>
  <si>
    <t>通信回数がそのまま帯域の通信量と比例するわけではないため</t>
    <rPh sb="0" eb="4">
      <t>ツウシンカイスウ</t>
    </rPh>
    <rPh sb="9" eb="11">
      <t>タイイキ</t>
    </rPh>
    <rPh sb="12" eb="15">
      <t>ツウシンリョウ</t>
    </rPh>
    <rPh sb="16" eb="18">
      <t>ヒレイ</t>
    </rPh>
    <phoneticPr fontId="1"/>
  </si>
  <si>
    <t>リンクダウンを検出してLAGメンバを故障回線を除外できる</t>
    <rPh sb="7" eb="9">
      <t>ケンシュツ</t>
    </rPh>
    <rPh sb="18" eb="22">
      <t>コショウカイセン</t>
    </rPh>
    <rPh sb="23" eb="25">
      <t>ジョガイ</t>
    </rPh>
    <phoneticPr fontId="1"/>
  </si>
  <si>
    <t>L3SWやコアルータにはリンクダウンを検知する手段がない</t>
    <rPh sb="19" eb="21">
      <t>ケンチ</t>
    </rPh>
    <rPh sb="23" eb="25">
      <t>シュダン</t>
    </rPh>
    <phoneticPr fontId="1"/>
  </si>
  <si>
    <t>d</t>
    <phoneticPr fontId="1"/>
  </si>
  <si>
    <t>e</t>
    <phoneticPr fontId="1"/>
  </si>
  <si>
    <t>f</t>
    <phoneticPr fontId="1"/>
  </si>
  <si>
    <t>g</t>
    <phoneticPr fontId="1"/>
  </si>
  <si>
    <t>設定</t>
    <rPh sb="0" eb="2">
      <t>セッテイ</t>
    </rPh>
    <phoneticPr fontId="1"/>
  </si>
  <si>
    <t>機器</t>
    <rPh sb="0" eb="2">
      <t>キキ</t>
    </rPh>
    <phoneticPr fontId="1"/>
  </si>
  <si>
    <t>D社は中堅商社</t>
    <rPh sb="1" eb="2">
      <t>シャ</t>
    </rPh>
    <rPh sb="3" eb="5">
      <t>チュウケン</t>
    </rPh>
    <rPh sb="5" eb="7">
      <t>ショウシャ</t>
    </rPh>
    <phoneticPr fontId="1"/>
  </si>
  <si>
    <t>社内システムはWEBシステム</t>
    <rPh sb="0" eb="2">
      <t>シャナイ</t>
    </rPh>
    <phoneticPr fontId="1"/>
  </si>
  <si>
    <t>仮想サーバでシステムとして構築</t>
    <rPh sb="0" eb="2">
      <t>カソウ</t>
    </rPh>
    <rPh sb="13" eb="15">
      <t>コウチク</t>
    </rPh>
    <phoneticPr fontId="1"/>
  </si>
  <si>
    <t>Inet経由で利用されてる</t>
    <rPh sb="4" eb="6">
      <t>ケイユ</t>
    </rPh>
    <rPh sb="7" eb="9">
      <t>リヨウ</t>
    </rPh>
    <phoneticPr fontId="1"/>
  </si>
  <si>
    <t>ネットワーク統合</t>
    <rPh sb="6" eb="8">
      <t>トウゴウ</t>
    </rPh>
    <phoneticPr fontId="1"/>
  </si>
  <si>
    <t>GVPNのVSVでアクセス</t>
    <phoneticPr fontId="1"/>
  </si>
  <si>
    <t>広域イーサネットサービスで接続</t>
    <rPh sb="0" eb="2">
      <t>コウイキ</t>
    </rPh>
    <rPh sb="13" eb="15">
      <t>セツゾク</t>
    </rPh>
    <phoneticPr fontId="1"/>
  </si>
  <si>
    <t>FWのNAPT機能を利用してアクセス</t>
    <rPh sb="7" eb="9">
      <t>キノウ</t>
    </rPh>
    <rPh sb="10" eb="12">
      <t>リヨウ</t>
    </rPh>
    <phoneticPr fontId="1"/>
  </si>
  <si>
    <t>VPN GW</t>
    <phoneticPr fontId="1"/>
  </si>
  <si>
    <t>Ipsecトンネル経由でアクセス</t>
    <rPh sb="9" eb="11">
      <t>ケイユ</t>
    </rPh>
    <phoneticPr fontId="1"/>
  </si>
  <si>
    <t>OSPFを利用して社内経路制御</t>
    <rPh sb="5" eb="7">
      <t>リヨウ</t>
    </rPh>
    <rPh sb="9" eb="11">
      <t>シャナイ</t>
    </rPh>
    <rPh sb="11" eb="13">
      <t>ケイロ</t>
    </rPh>
    <rPh sb="13" eb="15">
      <t>セイギョ</t>
    </rPh>
    <phoneticPr fontId="1"/>
  </si>
  <si>
    <t>L3SWとFWに適用</t>
    <rPh sb="8" eb="10">
      <t>テキヨウ</t>
    </rPh>
    <phoneticPr fontId="1"/>
  </si>
  <si>
    <t>広域イーサネットのOSPFエリアは1</t>
    <rPh sb="0" eb="2">
      <t>コウイキ</t>
    </rPh>
    <phoneticPr fontId="1"/>
  </si>
  <si>
    <t>OSPFniyoru</t>
    <phoneticPr fontId="1"/>
  </si>
  <si>
    <t>VPC GWはポータルサイトより</t>
    <phoneticPr fontId="1"/>
  </si>
  <si>
    <t>共有鍵</t>
    <rPh sb="0" eb="3">
      <t>キョウユウカギ</t>
    </rPh>
    <phoneticPr fontId="1"/>
  </si>
  <si>
    <t>リンクステートアドバタイズメント</t>
    <phoneticPr fontId="1"/>
  </si>
  <si>
    <t>ルータ</t>
    <phoneticPr fontId="1"/>
  </si>
  <si>
    <t>コスト</t>
    <phoneticPr fontId="1"/>
  </si>
  <si>
    <t>ダイアゴナル</t>
    <phoneticPr fontId="1"/>
  </si>
  <si>
    <t>172.16.0.0</t>
    <phoneticPr fontId="1"/>
  </si>
  <si>
    <t>OSPFへのデフォルトルートをD社内にあるOSPFルータに対して再販不することが必要となる</t>
    <rPh sb="16" eb="18">
      <t>シャナイ</t>
    </rPh>
    <rPh sb="29" eb="30">
      <t>タイ</t>
    </rPh>
    <rPh sb="32" eb="35">
      <t>サイハンフ</t>
    </rPh>
    <rPh sb="40" eb="42">
      <t>ヒツヨウ</t>
    </rPh>
    <phoneticPr fontId="1"/>
  </si>
  <si>
    <t>ルーティングテーブルサイズを圧縮するため</t>
    <rPh sb="14" eb="16">
      <t>アッシュク</t>
    </rPh>
    <phoneticPr fontId="1"/>
  </si>
  <si>
    <t>ループが生じある可能性がある</t>
    <rPh sb="4" eb="5">
      <t>ショウ</t>
    </rPh>
    <rPh sb="8" eb="11">
      <t>カノウセイ</t>
    </rPh>
    <phoneticPr fontId="1"/>
  </si>
  <si>
    <t>ルータとFW</t>
    <phoneticPr fontId="1"/>
  </si>
  <si>
    <t>172.16.0.0/16</t>
    <phoneticPr fontId="1"/>
  </si>
  <si>
    <t>現行ネットワーク統合う</t>
    <rPh sb="0" eb="2">
      <t>ゲンコウ</t>
    </rPh>
    <rPh sb="8" eb="10">
      <t>トウゴウ</t>
    </rPh>
    <phoneticPr fontId="1"/>
  </si>
  <si>
    <t>VPC内部の仮想サーバで</t>
    <rPh sb="3" eb="5">
      <t>ナイブ</t>
    </rPh>
    <rPh sb="6" eb="8">
      <t>カソウ</t>
    </rPh>
    <phoneticPr fontId="1"/>
  </si>
  <si>
    <t>VPN経由でアクセスしている</t>
    <rPh sb="3" eb="5">
      <t>ケイユ</t>
    </rPh>
    <phoneticPr fontId="1"/>
  </si>
  <si>
    <t>hijkl</t>
    <phoneticPr fontId="1"/>
  </si>
  <si>
    <t>L3SW6</t>
    <phoneticPr fontId="1"/>
  </si>
  <si>
    <t>フロア間OSPF追加設定を行う</t>
    <rPh sb="3" eb="4">
      <t>カン</t>
    </rPh>
    <rPh sb="8" eb="10">
      <t>ツイカ</t>
    </rPh>
    <rPh sb="10" eb="12">
      <t>セッテイ</t>
    </rPh>
    <rPh sb="13" eb="14">
      <t>オコナ</t>
    </rPh>
    <phoneticPr fontId="1"/>
  </si>
  <si>
    <t>フロアの追加設定</t>
    <rPh sb="4" eb="6">
      <t>ツイカ</t>
    </rPh>
    <rPh sb="6" eb="8">
      <t>セッテイ</t>
    </rPh>
    <phoneticPr fontId="1"/>
  </si>
  <si>
    <t>両方アさせてフロア０</t>
    <rPh sb="0" eb="2">
      <t>リョウホウ</t>
    </rPh>
    <phoneticPr fontId="1"/>
  </si>
  <si>
    <t>L3SW1</t>
    <phoneticPr fontId="1"/>
  </si>
  <si>
    <t>OSPFエリア１の支社経路を集約する</t>
    <rPh sb="9" eb="11">
      <t>シシャ</t>
    </rPh>
    <rPh sb="11" eb="13">
      <t>ケイロ</t>
    </rPh>
    <rPh sb="14" eb="16">
      <t>シュウヤク</t>
    </rPh>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</si>
  <si>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</si>
  <si>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</si>
  <si>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</si>
  <si>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</si>
  <si>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</si>
  <si>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</si>
  <si>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</si>
  <si>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</si>
  <si>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</si>
  <si>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</si>
  <si>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</si>
  <si>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</si>
  <si>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</si>
  <si>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</si>
  <si>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</si>
  <si>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</si>
  <si>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</si>
  <si>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Aしゃ情報システム</t>
    <rPh sb="3" eb="5">
      <t>ジョウホウ</t>
    </rPh>
    <phoneticPr fontId="1"/>
  </si>
  <si>
    <t>拠点の生産機械</t>
    <rPh sb="0" eb="2">
      <t>キョテン</t>
    </rPh>
    <rPh sb="3" eb="7">
      <t>セイサンキカイ</t>
    </rPh>
    <phoneticPr fontId="1"/>
  </si>
  <si>
    <t>情報システムシステムを騎亜初</t>
    <rPh sb="0" eb="2">
      <t>ジョウホウ</t>
    </rPh>
    <rPh sb="11" eb="14">
      <t>キアハツ</t>
    </rPh>
    <phoneticPr fontId="1"/>
  </si>
  <si>
    <t>NW拡張</t>
    <rPh sb="2" eb="4">
      <t>カクチョウ</t>
    </rPh>
    <phoneticPr fontId="1"/>
  </si>
  <si>
    <t>SDN</t>
    <phoneticPr fontId="1"/>
  </si>
  <si>
    <t>SDN技術を用いて向上LANの柔軟性向上</t>
    <rPh sb="3" eb="5">
      <t>ギジュツ</t>
    </rPh>
    <rPh sb="6" eb="7">
      <t>モチ</t>
    </rPh>
    <rPh sb="9" eb="11">
      <t>コウジョウ</t>
    </rPh>
    <rPh sb="15" eb="18">
      <t>ジュウナンセイ</t>
    </rPh>
    <rPh sb="18" eb="20">
      <t>コウジョウ</t>
    </rPh>
    <phoneticPr fontId="1"/>
  </si>
  <si>
    <t>クラウドサービスの利用拡大</t>
    <rPh sb="9" eb="13">
      <t>リヨウカクダイ</t>
    </rPh>
    <phoneticPr fontId="1"/>
  </si>
  <si>
    <t>ファームの一斉更新などの運用を行う</t>
    <rPh sb="5" eb="7">
      <t>イッセイ</t>
    </rPh>
    <rPh sb="7" eb="9">
      <t>コウシン</t>
    </rPh>
    <rPh sb="12" eb="14">
      <t>ウンヨウ</t>
    </rPh>
    <rPh sb="15" eb="16">
      <t>オコナ</t>
    </rPh>
    <phoneticPr fontId="1"/>
  </si>
  <si>
    <t>web-Aへのアクセス</t>
    <phoneticPr fontId="1"/>
  </si>
  <si>
    <t>プライベートアドレスが割り当て</t>
    <rPh sb="11" eb="12">
      <t>ワ</t>
    </rPh>
    <rPh sb="13" eb="14">
      <t>ア</t>
    </rPh>
    <phoneticPr fontId="1"/>
  </si>
  <si>
    <t>i1</t>
    <phoneticPr fontId="1"/>
  </si>
  <si>
    <t>NAT</t>
    <phoneticPr fontId="1"/>
  </si>
  <si>
    <t>i3</t>
    <phoneticPr fontId="1"/>
  </si>
  <si>
    <t>情報システムのNW拡張プロジェクト</t>
    <rPh sb="0" eb="2">
      <t>ジョウホウ</t>
    </rPh>
    <rPh sb="9" eb="11">
      <t>カクチョウ</t>
    </rPh>
    <phoneticPr fontId="1"/>
  </si>
  <si>
    <t>新工場LANの提案と構築を委託</t>
    <rPh sb="0" eb="3">
      <t>シンコウジョウ</t>
    </rPh>
    <rPh sb="7" eb="9">
      <t>テイアン</t>
    </rPh>
    <rPh sb="10" eb="12">
      <t>コウチク</t>
    </rPh>
    <rPh sb="13" eb="15">
      <t>イタク</t>
    </rPh>
    <phoneticPr fontId="1"/>
  </si>
  <si>
    <t>LBは稼働をチェックして振り分ける</t>
    <rPh sb="3" eb="5">
      <t>カドウ</t>
    </rPh>
    <rPh sb="12" eb="13">
      <t>フ</t>
    </rPh>
    <rPh sb="14" eb="15">
      <t>ワ</t>
    </rPh>
    <phoneticPr fontId="1"/>
  </si>
  <si>
    <t>待ち工場法</t>
    <rPh sb="0" eb="1">
      <t>マ</t>
    </rPh>
    <rPh sb="2" eb="5">
      <t>コウジョウホウ</t>
    </rPh>
    <phoneticPr fontId="1"/>
  </si>
  <si>
    <t>ベンダに委託</t>
    <rPh sb="4" eb="6">
      <t>イタク</t>
    </rPh>
    <phoneticPr fontId="1"/>
  </si>
  <si>
    <t>自社要因が担当</t>
    <rPh sb="0" eb="2">
      <t>ジシャ</t>
    </rPh>
    <rPh sb="2" eb="4">
      <t>ヨウイン</t>
    </rPh>
    <rPh sb="5" eb="7">
      <t>タントウ</t>
    </rPh>
    <phoneticPr fontId="1"/>
  </si>
  <si>
    <t>情報システム準備作業</t>
    <rPh sb="0" eb="2">
      <t>ジョウホウ</t>
    </rPh>
    <rPh sb="6" eb="8">
      <t>ジュンビ</t>
    </rPh>
    <rPh sb="8" eb="10">
      <t>サギョウ</t>
    </rPh>
    <phoneticPr fontId="1"/>
  </si>
  <si>
    <t>SDN技術の調査</t>
    <rPh sb="3" eb="5">
      <t>ギジュツ</t>
    </rPh>
    <rPh sb="6" eb="8">
      <t>チョウサ</t>
    </rPh>
    <phoneticPr fontId="1"/>
  </si>
  <si>
    <t>OFC</t>
    <phoneticPr fontId="1"/>
  </si>
  <si>
    <t>OFS</t>
    <phoneticPr fontId="1"/>
  </si>
  <si>
    <t>Pcaket-IN</t>
    <phoneticPr fontId="1"/>
  </si>
  <si>
    <t>Packet-Out</t>
    <phoneticPr fontId="1"/>
  </si>
  <si>
    <t>Flow-Mod</t>
    <phoneticPr fontId="1"/>
  </si>
  <si>
    <t>LLDP</t>
    <phoneticPr fontId="1"/>
  </si>
  <si>
    <t>controller</t>
    <phoneticPr fontId="1"/>
  </si>
  <si>
    <t>OFS2</t>
    <phoneticPr fontId="1"/>
  </si>
  <si>
    <t>p9</t>
    <phoneticPr fontId="1"/>
  </si>
  <si>
    <t>新工場LAN</t>
    <rPh sb="0" eb="3">
      <t>シンコウジョウ</t>
    </rPh>
    <phoneticPr fontId="1"/>
  </si>
  <si>
    <t>トランク接続</t>
    <rPh sb="4" eb="6">
      <t>セツゾク</t>
    </rPh>
    <phoneticPr fontId="1"/>
  </si>
  <si>
    <t>仮想NW</t>
    <rPh sb="0" eb="2">
      <t>カソウ</t>
    </rPh>
    <phoneticPr fontId="1"/>
  </si>
  <si>
    <t>m2</t>
    <phoneticPr fontId="1"/>
  </si>
  <si>
    <t>v2</t>
    <phoneticPr fontId="1"/>
  </si>
  <si>
    <t>なし</t>
    <phoneticPr fontId="1"/>
  </si>
  <si>
    <t>m3</t>
    <phoneticPr fontId="1"/>
  </si>
  <si>
    <t>i4</t>
    <phoneticPr fontId="1"/>
  </si>
  <si>
    <t>8,2,9,10,12,</t>
    <phoneticPr fontId="1"/>
  </si>
  <si>
    <t>ETH_TYPPEがARPのイーサネットタイプに等しい</t>
    <rPh sb="24" eb="25">
      <t>ヒト</t>
    </rPh>
    <phoneticPr fontId="1"/>
  </si>
  <si>
    <t>外部NWにあるRT1から真FWに対してパケットを送出。P7から入力されたARPを変更後RT-1に出力する動作を占めs</t>
    <rPh sb="0" eb="2">
      <t>ガイブ</t>
    </rPh>
    <rPh sb="12" eb="13">
      <t>シン</t>
    </rPh>
    <rPh sb="16" eb="17">
      <t>タイ</t>
    </rPh>
    <rPh sb="24" eb="26">
      <t>ソウシュツ</t>
    </rPh>
    <rPh sb="31" eb="33">
      <t>ニュウリョク</t>
    </rPh>
    <rPh sb="40" eb="42">
      <t>ヘンコウ</t>
    </rPh>
    <rPh sb="42" eb="43">
      <t>アト</t>
    </rPh>
    <rPh sb="48" eb="50">
      <t>シュツリョク</t>
    </rPh>
    <rPh sb="52" eb="54">
      <t>ドウサ</t>
    </rPh>
    <rPh sb="55" eb="56">
      <t>シ</t>
    </rPh>
    <phoneticPr fontId="1"/>
  </si>
  <si>
    <t>p1</t>
    <phoneticPr fontId="1"/>
  </si>
  <si>
    <t>m1</t>
    <phoneticPr fontId="1"/>
  </si>
  <si>
    <t>push-VLAN</t>
    <phoneticPr fontId="1"/>
  </si>
  <si>
    <t>Set-Fileld VLAN-VID = v2</t>
    <phoneticPr fontId="1"/>
  </si>
  <si>
    <t>Output(p7)</t>
    <phoneticPr fontId="1"/>
  </si>
  <si>
    <t>いくつかあるシステムのうち半版管理すステムを公開する</t>
    <rPh sb="13" eb="15">
      <t>ハンバン</t>
    </rPh>
    <rPh sb="15" eb="17">
      <t>カンリ</t>
    </rPh>
    <rPh sb="22" eb="24">
      <t>コウカイ</t>
    </rPh>
    <phoneticPr fontId="1"/>
  </si>
  <si>
    <t>販売管理システムは在庫管理や販売に利用される</t>
    <rPh sb="0" eb="2">
      <t>ハンバイ</t>
    </rPh>
    <rPh sb="2" eb="4">
      <t>カンリ</t>
    </rPh>
    <rPh sb="9" eb="13">
      <t>ザイコカンリ</t>
    </rPh>
    <rPh sb="14" eb="16">
      <t>ハンバイ</t>
    </rPh>
    <rPh sb="17" eb="19">
      <t>リヨウ</t>
    </rPh>
    <phoneticPr fontId="1"/>
  </si>
  <si>
    <t>L社が提供するクラウドサービスを仕様する案</t>
    <rPh sb="1" eb="2">
      <t>シャ</t>
    </rPh>
    <rPh sb="3" eb="5">
      <t>テイキョウ</t>
    </rPh>
    <rPh sb="16" eb="18">
      <t>シヨウ</t>
    </rPh>
    <rPh sb="20" eb="21">
      <t>アン</t>
    </rPh>
    <phoneticPr fontId="1"/>
  </si>
  <si>
    <t>L食らうs度サービスを利用する</t>
    <rPh sb="1" eb="2">
      <t>ク</t>
    </rPh>
    <rPh sb="5" eb="6">
      <t>ド</t>
    </rPh>
    <rPh sb="11" eb="13">
      <t>リヨウ</t>
    </rPh>
    <phoneticPr fontId="1"/>
  </si>
  <si>
    <t>ネットワーク接続を検討する</t>
    <rPh sb="6" eb="8">
      <t>セツゾク</t>
    </rPh>
    <rPh sb="9" eb="11">
      <t>ケントウ</t>
    </rPh>
    <phoneticPr fontId="1"/>
  </si>
  <si>
    <t>DBVPNで接続</t>
    <rPh sb="6" eb="8">
      <t>セツゾク</t>
    </rPh>
    <phoneticPr fontId="1"/>
  </si>
  <si>
    <t>VPNルータを設置</t>
    <rPh sb="7" eb="9">
      <t>セッチ</t>
    </rPh>
    <phoneticPr fontId="1"/>
  </si>
  <si>
    <t>OSPFで経路情報の交換</t>
    <rPh sb="5" eb="9">
      <t>ケイロジョウホウ</t>
    </rPh>
    <rPh sb="10" eb="12">
      <t>コウカン</t>
    </rPh>
    <phoneticPr fontId="1"/>
  </si>
  <si>
    <t>L社クラウドサービスではDBを構築し</t>
    <rPh sb="1" eb="2">
      <t>シャ</t>
    </rPh>
    <rPh sb="15" eb="17">
      <t>コウチク</t>
    </rPh>
    <phoneticPr fontId="1"/>
  </si>
  <si>
    <t>a1をアクティブ、b1をスタンバイ</t>
    <phoneticPr fontId="1"/>
  </si>
  <si>
    <t>高く</t>
    <rPh sb="0" eb="1">
      <t>タカ</t>
    </rPh>
    <phoneticPr fontId="1"/>
  </si>
  <si>
    <t>K社NWのPCとサーバはプライベートIPアドレスをそのまま利用して通信しているため</t>
    <rPh sb="1" eb="2">
      <t>シャ</t>
    </rPh>
    <rPh sb="29" eb="31">
      <t>リヨウ</t>
    </rPh>
    <rPh sb="33" eb="35">
      <t>ツウシン</t>
    </rPh>
    <phoneticPr fontId="1"/>
  </si>
  <si>
    <t>BGPの動的経路と性的経路</t>
    <rPh sb="4" eb="8">
      <t>ドウテキケイロ</t>
    </rPh>
    <rPh sb="9" eb="13">
      <t>セイテキケイロ</t>
    </rPh>
    <phoneticPr fontId="1"/>
  </si>
  <si>
    <t>BGPにより回線に障害が起きてもトラフィックを迂回させることが出来るため</t>
    <rPh sb="6" eb="8">
      <t>カイセン</t>
    </rPh>
    <rPh sb="9" eb="11">
      <t>ショウガイ</t>
    </rPh>
    <rPh sb="12" eb="13">
      <t>オ</t>
    </rPh>
    <rPh sb="23" eb="25">
      <t>ウカイ</t>
    </rPh>
    <rPh sb="31" eb="33">
      <t>デキ</t>
    </rPh>
    <phoneticPr fontId="1"/>
  </si>
  <si>
    <t>経路情報の交換を行わない</t>
    <rPh sb="0" eb="2">
      <t>ケイロ</t>
    </rPh>
    <rPh sb="2" eb="4">
      <t>ジョウホウ</t>
    </rPh>
    <rPh sb="5" eb="7">
      <t>コウカン</t>
    </rPh>
    <rPh sb="8" eb="9">
      <t>オコナ</t>
    </rPh>
    <phoneticPr fontId="1"/>
  </si>
  <si>
    <t>えBGPからOSPFへ再頒布された経路を再びeBGPへ再配布しない</t>
    <rPh sb="11" eb="14">
      <t>サイハンプ</t>
    </rPh>
    <rPh sb="17" eb="19">
      <t>ケイロ</t>
    </rPh>
    <rPh sb="20" eb="21">
      <t>フタタ</t>
    </rPh>
    <rPh sb="27" eb="30">
      <t>サイハイフ</t>
    </rPh>
    <phoneticPr fontId="1"/>
  </si>
  <si>
    <t>ネットワーク接続の上長構成が失われたことを検出するため</t>
    <rPh sb="6" eb="8">
      <t>セツゾク</t>
    </rPh>
    <rPh sb="9" eb="11">
      <t>ジョウチョウ</t>
    </rPh>
    <rPh sb="11" eb="13">
      <t>コウセイ</t>
    </rPh>
    <rPh sb="14" eb="15">
      <t>ウシナ</t>
    </rPh>
    <rPh sb="21" eb="23">
      <t>ケンシュツ</t>
    </rPh>
    <phoneticPr fontId="1"/>
  </si>
  <si>
    <t>D社はおふぃsを持つ種パン会社。</t>
    <rPh sb="1" eb="2">
      <t>シャ</t>
    </rPh>
    <rPh sb="8" eb="9">
      <t>モ</t>
    </rPh>
    <rPh sb="10" eb="11">
      <t>シュ</t>
    </rPh>
    <rPh sb="13" eb="15">
      <t>カイシャ</t>
    </rPh>
    <phoneticPr fontId="1"/>
  </si>
  <si>
    <t>WAN＋LANで構成される。</t>
    <rPh sb="8" eb="10">
      <t>コウセイ</t>
    </rPh>
    <phoneticPr fontId="1"/>
  </si>
  <si>
    <t>WAN構成の見直し方</t>
    <rPh sb="3" eb="5">
      <t>コウセイ</t>
    </rPh>
    <rPh sb="6" eb="8">
      <t>ミナオ</t>
    </rPh>
    <rPh sb="9" eb="10">
      <t>カタ</t>
    </rPh>
    <phoneticPr fontId="1"/>
  </si>
  <si>
    <t>VPNで接続</t>
    <rPh sb="4" eb="6">
      <t>セツゾク</t>
    </rPh>
    <phoneticPr fontId="1"/>
  </si>
  <si>
    <t>IP-VPNへのアクセス</t>
    <phoneticPr fontId="1"/>
  </si>
  <si>
    <t>イーさえっと回線サービスを利用する</t>
    <rPh sb="6" eb="8">
      <t>カイセン</t>
    </rPh>
    <rPh sb="13" eb="15">
      <t>リヨウ</t>
    </rPh>
    <phoneticPr fontId="1"/>
  </si>
  <si>
    <t>インターネット</t>
    <phoneticPr fontId="1"/>
  </si>
  <si>
    <t>利用者ごとのトラフィックを区別するため</t>
    <rPh sb="0" eb="3">
      <t>リヨウシャ</t>
    </rPh>
    <rPh sb="13" eb="15">
      <t>クベツ</t>
    </rPh>
    <phoneticPr fontId="1"/>
  </si>
  <si>
    <t>上長かルーティング</t>
    <rPh sb="0" eb="2">
      <t>ジョウチョウ</t>
    </rPh>
    <phoneticPr fontId="1"/>
  </si>
  <si>
    <t>マルチキャストを行うため</t>
    <rPh sb="8" eb="9">
      <t>オコナ</t>
    </rPh>
    <phoneticPr fontId="1"/>
  </si>
  <si>
    <t>他の拠点への経路情報</t>
    <rPh sb="0" eb="1">
      <t>ホカ</t>
    </rPh>
    <rPh sb="2" eb="4">
      <t>キョテン</t>
    </rPh>
    <rPh sb="6" eb="8">
      <t>ケイロ</t>
    </rPh>
    <rPh sb="8" eb="10">
      <t>ジョウホウ</t>
    </rPh>
    <phoneticPr fontId="1"/>
  </si>
  <si>
    <t>IP-VPMをおこなうならばBGPを利用する</t>
    <rPh sb="18" eb="20">
      <t>リヨウ</t>
    </rPh>
    <phoneticPr fontId="1"/>
  </si>
  <si>
    <t>BGP-4の経路情報を優先する</t>
    <rPh sb="6" eb="10">
      <t>ケイロジョウホウ</t>
    </rPh>
    <rPh sb="11" eb="13">
      <t>ユウセン</t>
    </rPh>
    <phoneticPr fontId="1"/>
  </si>
  <si>
    <t>拠点追加の時に全拠点の設定変更が必要となるから。</t>
    <rPh sb="0" eb="2">
      <t>キョテン</t>
    </rPh>
    <rPh sb="2" eb="4">
      <t>ツイカ</t>
    </rPh>
    <rPh sb="5" eb="6">
      <t>トキ</t>
    </rPh>
    <rPh sb="7" eb="10">
      <t>ゼンキョテン</t>
    </rPh>
    <rPh sb="11" eb="13">
      <t>セッテイ</t>
    </rPh>
    <rPh sb="13" eb="15">
      <t>ヘンコウ</t>
    </rPh>
    <rPh sb="16" eb="18">
      <t>ヒツヨウ</t>
    </rPh>
    <phoneticPr fontId="1"/>
  </si>
  <si>
    <t>ネットワークベンダ</t>
    <phoneticPr fontId="1"/>
  </si>
  <si>
    <t>自動トンネル機能を活用した方式</t>
    <rPh sb="0" eb="2">
      <t>ジドウ</t>
    </rPh>
    <rPh sb="6" eb="8">
      <t>キノウ</t>
    </rPh>
    <rPh sb="9" eb="11">
      <t>カツヨウ</t>
    </rPh>
    <rPh sb="13" eb="15">
      <t>ホウシキ</t>
    </rPh>
    <phoneticPr fontId="1"/>
  </si>
  <si>
    <t>拠点のIPアドレス</t>
    <rPh sb="0" eb="2">
      <t>キョテン</t>
    </rPh>
    <phoneticPr fontId="1"/>
  </si>
  <si>
    <t>FW2、F"3</t>
    <phoneticPr fontId="1"/>
  </si>
  <si>
    <t>OSPFのプライオリティ値を0に設定する</t>
    <rPh sb="12" eb="13">
      <t>アタイ</t>
    </rPh>
    <rPh sb="16" eb="18">
      <t>セッテイ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</si>
</sst>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4B60B-B587-4C99-AAAB-F8F14F6A4C0D}">
  <sheetPr codeName="Sheet5"/>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D31" sqref="D31"/>
    </sheetView>
  </sheetViews>
  <sheetFormatPr defaultRowHeight="18.75"/>
  <cols>
    <col min="1" max="3" width="4.625" style="2" customWidth="1"/>
    <col min="4" max="4" width="96.875" style="1" customWidth="1"/>
    <col min="5" max="5" width="9.75" customWidth="1"/>
  </cols>
  <sheetData>
    <row r="1" spans="1:7">
      <c r="A1" s="4" t="s">
        <v>0</v>
      </c>
      <c r="B1" s="4"/>
      <c r="C1" s="4"/>
    </row>
    <row r="2" spans="1:7">
      <c r="A2" s="4" t="s">
        <v>2</v>
      </c>
      <c r="B2" s="4"/>
      <c r="C2" s="4"/>
      <c r="D2" s="3"/>
      <c r="F2">
        <f>SUM(F4:F1000)</f>
        <v>0</v>
      </c>
      <c r="G2">
        <f>SUM(G4:G1000)</f>
        <v>0</v>
      </c>
    </row>
    <row r="3" spans="1:7">
      <c r="A3" s="4" t="s">
        <v>1</v>
      </c>
      <c r="B3" s="4"/>
      <c r="C3" s="4"/>
      <c r="D3" s="1" t="s">
        <v>3</v>
      </c>
      <c r="E3" t="s">
        <v>6</v>
      </c>
      <c r="F3" t="s">
        <v>4</v>
      </c>
      <c r="G3" t="s">
        <v>5</v>
      </c>
    </row>
    <row r="4" spans="1:7">
      <c r="E4" t="str">
        <f>IF(D4&lt;&gt;"",LEN(D4),"")</f>
        <v/>
      </c>
    </row>
    <row r="5" spans="1:7">
      <c r="E5" t="str">
        <f t="shared" ref="E5:E68" si="0">IF(D5&lt;&gt;"",LEN(D5),"")</f>
        <v/>
      </c>
    </row>
    <row r="6" spans="1:7">
      <c r="E6" t="str">
        <f t="shared" si="0"/>
        <v/>
      </c>
    </row>
    <row r="7" spans="1:7">
      <c r="E7" t="str">
        <f t="shared" si="0"/>
        <v/>
      </c>
    </row>
    <row r="8" spans="1:7">
      <c r="E8" t="str">
        <f t="shared" si="0"/>
        <v/>
      </c>
    </row>
    <row r="9" spans="1:7">
      <c r="E9" t="str">
        <f t="shared" si="0"/>
        <v/>
      </c>
    </row>
    <row r="10" spans="1:7">
      <c r="E10" t="str">
        <f t="shared" si="0"/>
        <v/>
      </c>
    </row>
    <row r="11" spans="1:7">
      <c r="E11" t="str">
        <f t="shared" si="0"/>
        <v/>
      </c>
    </row>
    <row r="12" spans="1:7">
      <c r="E12" t="str">
        <f t="shared" si="0"/>
        <v/>
      </c>
    </row>
    <row r="13" spans="1:7">
      <c r="E13" t="str">
        <f t="shared" si="0"/>
        <v/>
      </c>
    </row>
    <row r="14" spans="1:7">
      <c r="E14" t="str">
        <f t="shared" si="0"/>
        <v/>
      </c>
    </row>
    <row r="15" spans="1:7">
      <c r="E15" t="str">
        <f t="shared" si="0"/>
        <v/>
      </c>
    </row>
    <row r="16" spans="1:7">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10" sqref="H10"/>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13</v>
      </c>
      <c r="D2">
        <v>80</v>
      </c>
      <c r="E2">
        <v>100</v>
      </c>
    </row>
    <row r="3" spans="1:6">
      <c r="A3">
        <v>2</v>
      </c>
      <c r="B3" s="2" t="s">
        <v>12</v>
      </c>
      <c r="C3" s="2" t="s">
        <v>14</v>
      </c>
      <c r="D3">
        <v>65</v>
      </c>
      <c r="E3">
        <v>100</v>
      </c>
    </row>
    <row r="4" spans="1:6">
      <c r="A4">
        <v>3</v>
      </c>
      <c r="B4" s="2" t="s">
        <v>12</v>
      </c>
      <c r="C4" s="2" t="s">
        <v>15</v>
      </c>
      <c r="D4">
        <v>89</v>
      </c>
      <c r="E4">
        <v>100</v>
      </c>
    </row>
    <row r="5" spans="1:6">
      <c r="A5">
        <v>4</v>
      </c>
      <c r="B5" s="2" t="s">
        <v>12</v>
      </c>
      <c r="C5" s="2" t="s">
        <v>16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698E-195F-4958-9601-7E93F0A796C4}">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D28" sqref="D28"/>
    </sheetView>
  </sheetViews>
  <sheetFormatPr defaultRowHeight="18.75"/>
  <cols>
    <col min="1" max="3" width="5.625" style="2" customWidth="1"/>
    <col min="4" max="4" width="96.875" style="1" customWidth="1"/>
    <col min="5" max="7" width="6.5" customWidth="1"/>
  </cols>
  <sheetData>
    <row r="1" spans="1:9">
      <c r="A1" s="4" t="s">
        <v>0</v>
      </c>
      <c r="B1" s="4"/>
      <c r="C1" s="4"/>
      <c r="D1" s="1" t="s">
        <v>17</v>
      </c>
    </row>
    <row r="2" spans="1:9">
      <c r="A2" s="4" t="s">
        <v>2</v>
      </c>
      <c r="B2" s="4"/>
      <c r="C2" s="4"/>
      <c r="D2" s="3" t="s">
        <v>18</v>
      </c>
      <c r="F2">
        <f>SUM(F4:F1000)</f>
        <v>16</v>
      </c>
      <c r="G2">
        <f>SUM(G4:G1000)</f>
        <v>50</v>
      </c>
    </row>
    <row r="3" spans="1:9">
      <c r="A3" s="4" t="s">
        <v>1</v>
      </c>
      <c r="B3" s="4"/>
      <c r="C3" s="4"/>
      <c r="D3" s="1" t="s">
        <v>3</v>
      </c>
      <c r="E3" t="s">
        <v>6</v>
      </c>
      <c r="F3" t="s">
        <v>4</v>
      </c>
      <c r="G3" t="s">
        <v>5</v>
      </c>
    </row>
    <row r="4" spans="1:9">
      <c r="A4" s="2" t="s">
        <v>18</v>
      </c>
      <c r="C4" s="2" t="s">
        <v>22</v>
      </c>
      <c r="D4" s="1" t="s">
        <v>31</v>
      </c>
      <c r="E4">
        <f>IF(D4&lt;&gt;"",LEN(D4),"")</f>
        <v>4</v>
      </c>
      <c r="F4">
        <v>2</v>
      </c>
      <c r="G4">
        <v>2</v>
      </c>
    </row>
    <row r="5" spans="1:9">
      <c r="C5" s="2" t="s">
        <v>23</v>
      </c>
      <c r="D5" s="1" t="s">
        <v>33</v>
      </c>
      <c r="E5">
        <f t="shared" ref="E5:E68" si="0">IF(D5&lt;&gt;"",LEN(D5),"")</f>
        <v>5</v>
      </c>
      <c r="F5">
        <v>2</v>
      </c>
      <c r="G5">
        <v>2</v>
      </c>
      <c r="I5" t="s">
        <v>19</v>
      </c>
    </row>
    <row r="6" spans="1:9">
      <c r="C6" s="2" t="s">
        <v>24</v>
      </c>
      <c r="D6" s="1" t="s">
        <v>38</v>
      </c>
      <c r="E6">
        <f t="shared" si="0"/>
        <v>2</v>
      </c>
      <c r="F6">
        <v>2</v>
      </c>
      <c r="G6">
        <v>2</v>
      </c>
      <c r="I6" t="s">
        <v>20</v>
      </c>
    </row>
    <row r="7" spans="1:9">
      <c r="C7" s="2" t="s">
        <v>25</v>
      </c>
      <c r="D7" s="1" t="s">
        <v>43</v>
      </c>
      <c r="E7">
        <f t="shared" si="0"/>
        <v>3</v>
      </c>
      <c r="F7">
        <v>0</v>
      </c>
      <c r="G7">
        <v>2</v>
      </c>
      <c r="I7" t="s">
        <v>21</v>
      </c>
    </row>
    <row r="8" spans="1:9">
      <c r="C8" s="2" t="s">
        <v>26</v>
      </c>
      <c r="D8" s="1" t="s">
        <v>39</v>
      </c>
      <c r="E8">
        <f t="shared" si="0"/>
        <v>4</v>
      </c>
      <c r="F8">
        <v>0</v>
      </c>
      <c r="G8">
        <v>2</v>
      </c>
      <c r="I8" t="s">
        <v>32</v>
      </c>
    </row>
    <row r="9" spans="1:9">
      <c r="C9" s="2" t="s">
        <v>27</v>
      </c>
      <c r="D9" s="1" t="s">
        <v>44</v>
      </c>
      <c r="E9">
        <f t="shared" si="0"/>
        <v>10</v>
      </c>
      <c r="F9">
        <v>0</v>
      </c>
      <c r="G9">
        <v>2</v>
      </c>
    </row>
    <row r="10" spans="1:9">
      <c r="A10" s="2" t="s">
        <v>28</v>
      </c>
      <c r="B10" s="2" t="s">
        <v>18</v>
      </c>
      <c r="D10" s="1" t="s">
        <v>34</v>
      </c>
      <c r="E10">
        <f t="shared" si="0"/>
        <v>26</v>
      </c>
      <c r="F10">
        <v>0</v>
      </c>
      <c r="G10">
        <v>4</v>
      </c>
    </row>
    <row r="11" spans="1:9">
      <c r="B11" s="2" t="s">
        <v>28</v>
      </c>
      <c r="D11" s="1" t="s">
        <v>35</v>
      </c>
      <c r="E11">
        <f t="shared" si="0"/>
        <v>22</v>
      </c>
      <c r="F11">
        <v>3</v>
      </c>
      <c r="G11">
        <v>6</v>
      </c>
    </row>
    <row r="12" spans="1:9">
      <c r="A12" s="2" t="s">
        <v>29</v>
      </c>
      <c r="B12" s="2" t="s">
        <v>18</v>
      </c>
      <c r="D12" s="1" t="s">
        <v>36</v>
      </c>
      <c r="E12">
        <f t="shared" si="0"/>
        <v>33</v>
      </c>
      <c r="F12">
        <v>4</v>
      </c>
      <c r="G12">
        <v>4</v>
      </c>
    </row>
    <row r="13" spans="1:9">
      <c r="B13" s="2" t="s">
        <v>28</v>
      </c>
      <c r="D13" s="1" t="s">
        <v>37</v>
      </c>
      <c r="E13">
        <f t="shared" si="0"/>
        <v>17</v>
      </c>
      <c r="F13">
        <v>0</v>
      </c>
      <c r="G13">
        <v>6</v>
      </c>
    </row>
    <row r="14" spans="1:9">
      <c r="B14" s="2" t="s">
        <v>29</v>
      </c>
      <c r="D14" s="1" t="s">
        <v>40</v>
      </c>
      <c r="E14">
        <f t="shared" si="0"/>
        <v>3</v>
      </c>
      <c r="F14">
        <v>3</v>
      </c>
      <c r="G14">
        <v>6</v>
      </c>
    </row>
    <row r="15" spans="1:9">
      <c r="B15" s="2" t="s">
        <v>30</v>
      </c>
      <c r="D15" s="1" t="s">
        <v>41</v>
      </c>
      <c r="E15">
        <f t="shared" si="0"/>
        <v>31</v>
      </c>
      <c r="F15">
        <v>0</v>
      </c>
      <c r="G15">
        <v>6</v>
      </c>
    </row>
    <row r="16" spans="1:9">
      <c r="A16" s="2" t="s">
        <v>30</v>
      </c>
      <c r="D16" s="1" t="s">
        <v>42</v>
      </c>
      <c r="E16">
        <f t="shared" si="0"/>
        <v>26</v>
      </c>
      <c r="F16">
        <v>0</v>
      </c>
      <c r="G16">
        <v>6</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D1" sqref="D1"/>
    </sheetView>
  </sheetViews>
  <sheetFormatPr defaultRowHeight="18.75"/>
  <cols>
    <col min="1" max="3" width="5.625" style="2" customWidth="1"/>
    <col min="4" max="4" width="96.875" style="1" customWidth="1"/>
    <col min="5" max="7" width="6.5" customWidth="1"/>
  </cols>
  <sheetData>
    <row r="1" spans="1:8">
      <c r="A1" s="4" t="s">
        <v>0</v>
      </c>
      <c r="B1" s="4"/>
      <c r="C1" s="4"/>
      <c r="D1" s="1" t="s">
        <v>17</v>
      </c>
    </row>
    <row r="2" spans="1:8">
      <c r="A2" s="4" t="s">
        <v>2</v>
      </c>
      <c r="B2" s="4"/>
      <c r="C2" s="4"/>
      <c r="D2" s="3" t="s">
        <v>28</v>
      </c>
      <c r="F2">
        <f>SUM(F4:F1000)</f>
        <v>21</v>
      </c>
      <c r="G2">
        <f>SUM(G4:G1000)</f>
        <v>50</v>
      </c>
    </row>
    <row r="3" spans="1:8">
      <c r="A3" s="4" t="s">
        <v>1</v>
      </c>
      <c r="B3" s="4"/>
      <c r="C3" s="4"/>
      <c r="D3" s="1" t="s">
        <v>3</v>
      </c>
      <c r="E3" t="s">
        <v>6</v>
      </c>
      <c r="F3" t="s">
        <v>4</v>
      </c>
      <c r="G3" t="s">
        <v>5</v>
      </c>
    </row>
    <row r="4" spans="1:8">
      <c r="A4" s="2" t="s">
        <v>18</v>
      </c>
      <c r="C4" s="2" t="s">
        <v>22</v>
      </c>
      <c r="D4" s="1" t="s">
        <v>53</v>
      </c>
      <c r="E4">
        <f>IF(D4&lt;&gt;"",LEN(D4),"")</f>
        <v>3</v>
      </c>
      <c r="F4">
        <v>0</v>
      </c>
      <c r="G4">
        <v>2</v>
      </c>
      <c r="H4" t="s">
        <v>45</v>
      </c>
    </row>
    <row r="5" spans="1:8">
      <c r="C5" s="2" t="s">
        <v>23</v>
      </c>
      <c r="D5" s="1" t="s">
        <v>54</v>
      </c>
      <c r="E5">
        <f t="shared" ref="E5:E68" si="0">IF(D5&lt;&gt;"",LEN(D5),"")</f>
        <v>5</v>
      </c>
      <c r="F5">
        <v>0</v>
      </c>
      <c r="G5">
        <v>2</v>
      </c>
      <c r="H5" t="s">
        <v>46</v>
      </c>
    </row>
    <row r="6" spans="1:8">
      <c r="C6" s="2" t="s">
        <v>24</v>
      </c>
      <c r="D6" s="1" t="s">
        <v>55</v>
      </c>
      <c r="E6">
        <f t="shared" si="0"/>
        <v>6</v>
      </c>
      <c r="F6">
        <v>2</v>
      </c>
      <c r="G6">
        <v>2</v>
      </c>
      <c r="H6" t="s">
        <v>47</v>
      </c>
    </row>
    <row r="7" spans="1:8">
      <c r="C7" s="2" t="s">
        <v>25</v>
      </c>
      <c r="D7" s="1" t="s">
        <v>56</v>
      </c>
      <c r="E7">
        <f t="shared" si="0"/>
        <v>6</v>
      </c>
      <c r="F7">
        <v>2</v>
      </c>
      <c r="G7">
        <v>2</v>
      </c>
      <c r="H7" t="s">
        <v>48</v>
      </c>
    </row>
    <row r="8" spans="1:8">
      <c r="C8" s="2" t="s">
        <v>26</v>
      </c>
      <c r="D8" s="1" t="s">
        <v>57</v>
      </c>
      <c r="E8">
        <f t="shared" si="0"/>
        <v>12</v>
      </c>
      <c r="F8">
        <v>2</v>
      </c>
      <c r="G8">
        <v>2</v>
      </c>
      <c r="H8" t="s">
        <v>49</v>
      </c>
    </row>
    <row r="9" spans="1:8">
      <c r="A9" s="2" t="s">
        <v>18</v>
      </c>
      <c r="B9" s="2" t="s">
        <v>18</v>
      </c>
      <c r="D9" s="1" t="s">
        <v>58</v>
      </c>
      <c r="E9">
        <f t="shared" si="0"/>
        <v>4</v>
      </c>
      <c r="F9">
        <v>5</v>
      </c>
      <c r="G9">
        <v>5</v>
      </c>
      <c r="H9" t="s">
        <v>50</v>
      </c>
    </row>
    <row r="10" spans="1:8">
      <c r="B10" s="2" t="s">
        <v>28</v>
      </c>
      <c r="D10" s="1" t="s">
        <v>59</v>
      </c>
      <c r="E10">
        <f t="shared" si="0"/>
        <v>17</v>
      </c>
      <c r="F10">
        <v>5</v>
      </c>
      <c r="G10">
        <v>5</v>
      </c>
      <c r="H10" t="s">
        <v>51</v>
      </c>
    </row>
    <row r="11" spans="1:8">
      <c r="A11" s="2" t="s">
        <v>29</v>
      </c>
      <c r="B11" s="2" t="s">
        <v>18</v>
      </c>
      <c r="D11" s="1" t="s">
        <v>60</v>
      </c>
      <c r="E11">
        <f t="shared" si="0"/>
        <v>19</v>
      </c>
      <c r="F11">
        <v>0</v>
      </c>
      <c r="G11">
        <v>4</v>
      </c>
      <c r="H11" t="s">
        <v>52</v>
      </c>
    </row>
    <row r="12" spans="1:8">
      <c r="B12" s="2" t="s">
        <v>28</v>
      </c>
      <c r="D12" s="1" t="s">
        <v>61</v>
      </c>
      <c r="E12">
        <f t="shared" si="0"/>
        <v>10</v>
      </c>
      <c r="F12">
        <v>0</v>
      </c>
      <c r="G12">
        <v>5</v>
      </c>
    </row>
    <row r="13" spans="1:8">
      <c r="B13" s="2" t="s">
        <v>29</v>
      </c>
      <c r="D13" s="1" t="s">
        <v>62</v>
      </c>
      <c r="E13">
        <f t="shared" si="0"/>
        <v>27</v>
      </c>
      <c r="F13">
        <v>0</v>
      </c>
      <c r="G13">
        <v>5</v>
      </c>
    </row>
    <row r="14" spans="1:8">
      <c r="A14" s="2" t="s">
        <v>30</v>
      </c>
      <c r="B14" s="2" t="s">
        <v>18</v>
      </c>
      <c r="D14" s="1" t="s">
        <v>63</v>
      </c>
      <c r="E14">
        <f t="shared" si="0"/>
        <v>23</v>
      </c>
      <c r="F14">
        <v>5</v>
      </c>
      <c r="G14">
        <v>5</v>
      </c>
    </row>
    <row r="15" spans="1:8">
      <c r="B15" s="2" t="s">
        <v>28</v>
      </c>
      <c r="D15" s="1" t="s">
        <v>64</v>
      </c>
      <c r="E15">
        <f t="shared" si="0"/>
        <v>18</v>
      </c>
      <c r="F15">
        <v>0</v>
      </c>
      <c r="G15">
        <v>5</v>
      </c>
    </row>
    <row r="16" spans="1:8">
      <c r="B16" s="2" t="s">
        <v>29</v>
      </c>
      <c r="C16" s="2" t="s">
        <v>18</v>
      </c>
      <c r="D16" s="1" t="s">
        <v>65</v>
      </c>
      <c r="E16">
        <f t="shared" si="0"/>
        <v>8</v>
      </c>
      <c r="F16">
        <v>0</v>
      </c>
      <c r="G16">
        <v>3</v>
      </c>
    </row>
    <row r="17" spans="3:7">
      <c r="C17" s="2" t="s">
        <v>28</v>
      </c>
      <c r="D17" s="1" t="s">
        <v>66</v>
      </c>
      <c r="E17">
        <f t="shared" si="0"/>
        <v>14</v>
      </c>
      <c r="F17">
        <v>0</v>
      </c>
      <c r="G17">
        <v>3</v>
      </c>
    </row>
    <row r="18" spans="3:7">
      <c r="E18" t="str">
        <f t="shared" si="0"/>
        <v/>
      </c>
    </row>
    <row r="19" spans="3:7">
      <c r="E19" t="str">
        <f t="shared" si="0"/>
        <v/>
      </c>
    </row>
    <row r="20" spans="3:7">
      <c r="E20" t="str">
        <f t="shared" si="0"/>
        <v/>
      </c>
    </row>
    <row r="21" spans="3:7">
      <c r="E21" t="str">
        <f t="shared" si="0"/>
        <v/>
      </c>
    </row>
    <row r="22" spans="3:7">
      <c r="E22" t="str">
        <f t="shared" si="0"/>
        <v/>
      </c>
    </row>
    <row r="23" spans="3:7">
      <c r="E23" t="str">
        <f t="shared" si="0"/>
        <v/>
      </c>
    </row>
    <row r="24" spans="3:7">
      <c r="E24" t="str">
        <f t="shared" si="0"/>
        <v/>
      </c>
    </row>
    <row r="25" spans="3:7">
      <c r="E25" t="str">
        <f t="shared" si="0"/>
        <v/>
      </c>
    </row>
    <row r="26" spans="3:7">
      <c r="E26" t="str">
        <f t="shared" si="0"/>
        <v/>
      </c>
    </row>
    <row r="27" spans="3:7">
      <c r="E27" t="str">
        <f t="shared" si="0"/>
        <v/>
      </c>
    </row>
    <row r="28" spans="3:7">
      <c r="E28" t="str">
        <f t="shared" si="0"/>
        <v/>
      </c>
    </row>
    <row r="29" spans="3:7">
      <c r="E29" t="str">
        <f t="shared" si="0"/>
        <v/>
      </c>
    </row>
    <row r="30" spans="3:7">
      <c r="E30" t="str">
        <f t="shared" si="0"/>
        <v/>
      </c>
    </row>
    <row r="31" spans="3:7">
      <c r="E31" t="str">
        <f t="shared" si="0"/>
        <v/>
      </c>
    </row>
    <row r="32" spans="3: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B138E-AADC-4F77-808D-7835F798F0C2}">
  <sheetPr codeName="Sheet6"/>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D1" sqref="D1"/>
    </sheetView>
  </sheetViews>
  <sheetFormatPr defaultRowHeight="18.75"/>
  <cols>
    <col min="1" max="3" width="4.5" style="2" customWidth="1"/>
    <col min="4" max="4" width="80.25" style="1" customWidth="1"/>
    <col min="5" max="7" width="7.375" customWidth="1"/>
  </cols>
  <sheetData>
    <row r="1" spans="1:10">
      <c r="A1" s="4" t="s">
        <v>0</v>
      </c>
      <c r="B1" s="4"/>
      <c r="C1" s="4"/>
      <c r="D1" s="1" t="s">
        <v>17</v>
      </c>
    </row>
    <row r="2" spans="1:10">
      <c r="A2" s="4" t="s">
        <v>2</v>
      </c>
      <c r="B2" s="4"/>
      <c r="C2" s="4"/>
      <c r="D2" s="3" t="s">
        <v>29</v>
      </c>
      <c r="F2">
        <f>SUM(F4:F1000)</f>
        <v>18</v>
      </c>
      <c r="G2">
        <f>SUM(G4:G1000)</f>
        <v>50</v>
      </c>
    </row>
    <row r="3" spans="1:10">
      <c r="A3" s="4" t="s">
        <v>1</v>
      </c>
      <c r="B3" s="4"/>
      <c r="C3" s="4"/>
      <c r="D3" s="1" t="s">
        <v>3</v>
      </c>
      <c r="E3" t="s">
        <v>6</v>
      </c>
      <c r="F3" t="s">
        <v>4</v>
      </c>
      <c r="G3" t="s">
        <v>5</v>
      </c>
    </row>
    <row r="4" spans="1:10">
      <c r="A4" s="2" t="s">
        <v>18</v>
      </c>
      <c r="B4" s="2" t="s">
        <v>18</v>
      </c>
      <c r="C4" s="2" t="s">
        <v>67</v>
      </c>
      <c r="D4" s="1" t="s">
        <v>79</v>
      </c>
      <c r="E4">
        <f>IF(D4&lt;&gt;"",LEN(D4),"")</f>
        <v>5</v>
      </c>
      <c r="F4">
        <v>4</v>
      </c>
      <c r="G4">
        <v>4</v>
      </c>
      <c r="H4" t="s">
        <v>72</v>
      </c>
      <c r="J4" t="s">
        <v>83</v>
      </c>
    </row>
    <row r="5" spans="1:10">
      <c r="C5" s="2" t="s">
        <v>68</v>
      </c>
      <c r="D5" s="1" t="s">
        <v>80</v>
      </c>
      <c r="E5">
        <f t="shared" ref="E5:E68" si="0">IF(D5&lt;&gt;"",LEN(D5),"")</f>
        <v>9</v>
      </c>
      <c r="F5">
        <v>4</v>
      </c>
      <c r="G5">
        <v>4</v>
      </c>
      <c r="H5" t="s">
        <v>73</v>
      </c>
      <c r="J5" t="s">
        <v>84</v>
      </c>
    </row>
    <row r="6" spans="1:10">
      <c r="C6" s="2" t="s">
        <v>69</v>
      </c>
      <c r="D6" s="1" t="s">
        <v>81</v>
      </c>
      <c r="E6">
        <f t="shared" si="0"/>
        <v>4</v>
      </c>
      <c r="F6">
        <v>0</v>
      </c>
      <c r="G6">
        <v>4</v>
      </c>
      <c r="H6" t="s">
        <v>74</v>
      </c>
      <c r="J6" t="s">
        <v>85</v>
      </c>
    </row>
    <row r="7" spans="1:10">
      <c r="B7" s="2" t="s">
        <v>28</v>
      </c>
      <c r="D7" s="1" t="s">
        <v>82</v>
      </c>
      <c r="E7">
        <f t="shared" si="0"/>
        <v>3</v>
      </c>
      <c r="F7">
        <v>5</v>
      </c>
      <c r="G7">
        <v>5</v>
      </c>
      <c r="H7" t="s">
        <v>75</v>
      </c>
      <c r="J7" t="s">
        <v>86</v>
      </c>
    </row>
    <row r="8" spans="1:10">
      <c r="B8" s="2" t="s">
        <v>29</v>
      </c>
      <c r="D8" s="1" t="s">
        <v>82</v>
      </c>
      <c r="E8">
        <f t="shared" si="0"/>
        <v>3</v>
      </c>
      <c r="F8">
        <v>5</v>
      </c>
      <c r="G8">
        <v>5</v>
      </c>
      <c r="H8" t="s">
        <v>76</v>
      </c>
    </row>
    <row r="9" spans="1:10">
      <c r="B9" s="2" t="s">
        <v>30</v>
      </c>
      <c r="D9" s="1" t="s">
        <v>87</v>
      </c>
      <c r="E9">
        <f t="shared" si="0"/>
        <v>37</v>
      </c>
      <c r="F9">
        <v>0</v>
      </c>
      <c r="G9">
        <v>8</v>
      </c>
      <c r="H9" t="s">
        <v>77</v>
      </c>
    </row>
    <row r="10" spans="1:10">
      <c r="B10" s="2" t="s">
        <v>70</v>
      </c>
      <c r="D10" s="1" t="s">
        <v>88</v>
      </c>
      <c r="E10">
        <f t="shared" si="0"/>
        <v>36</v>
      </c>
      <c r="F10">
        <v>0</v>
      </c>
      <c r="G10">
        <v>10</v>
      </c>
      <c r="H10" t="s">
        <v>78</v>
      </c>
    </row>
    <row r="11" spans="1:10">
      <c r="B11" s="2" t="s">
        <v>71</v>
      </c>
      <c r="D11" s="1" t="s">
        <v>89</v>
      </c>
      <c r="E11">
        <f t="shared" si="0"/>
        <v>28</v>
      </c>
      <c r="F11">
        <v>0</v>
      </c>
      <c r="G11">
        <v>10</v>
      </c>
    </row>
    <row r="12" spans="1:10">
      <c r="D12" s="1" t="s">
        <v>90</v>
      </c>
      <c r="E12">
        <f t="shared" si="0"/>
        <v>28</v>
      </c>
    </row>
    <row r="13" spans="1:10">
      <c r="D13" s="1" t="s">
        <v>91</v>
      </c>
      <c r="E13">
        <f t="shared" si="0"/>
        <v>28</v>
      </c>
    </row>
    <row r="14" spans="1:10">
      <c r="E14" t="str">
        <f t="shared" si="0"/>
        <v/>
      </c>
    </row>
    <row r="15" spans="1:10">
      <c r="E15" t="str">
        <f t="shared" si="0"/>
        <v/>
      </c>
    </row>
    <row r="16" spans="1:10">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0585D-569F-463E-97AD-33C4C41B7199}">
  <sheetPr codeName="Sheet7"/>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20" sqref="F20"/>
    </sheetView>
  </sheetViews>
  <sheetFormatPr defaultRowHeight="18.75"/>
  <cols>
    <col min="1" max="3" width="4.625" style="2" customWidth="1"/>
    <col min="4" max="4" width="88.25" style="1" customWidth="1"/>
    <col min="5" max="5" width="9.75" customWidth="1"/>
  </cols>
  <sheetData>
    <row r="1" spans="1:10">
      <c r="A1" s="4" t="s">
        <v>0</v>
      </c>
      <c r="B1" s="4"/>
      <c r="C1" s="4"/>
      <c r="D1" s="1" t="s">
        <v>17</v>
      </c>
    </row>
    <row r="2" spans="1:10">
      <c r="A2" s="4" t="s">
        <v>2</v>
      </c>
      <c r="B2" s="4"/>
      <c r="C2" s="4"/>
      <c r="D2" s="3" t="s">
        <v>30</v>
      </c>
      <c r="F2">
        <f>SUM(F4:F1000)</f>
        <v>22</v>
      </c>
      <c r="G2">
        <f>SUM(G4:G1000)</f>
        <v>50</v>
      </c>
    </row>
    <row r="3" spans="1:10">
      <c r="A3" s="4" t="s">
        <v>1</v>
      </c>
      <c r="B3" s="4"/>
      <c r="C3" s="4"/>
      <c r="D3" s="1" t="s">
        <v>3</v>
      </c>
      <c r="E3" t="s">
        <v>6</v>
      </c>
      <c r="F3" t="s">
        <v>4</v>
      </c>
      <c r="G3" t="s">
        <v>5</v>
      </c>
    </row>
    <row r="4" spans="1:10">
      <c r="A4" s="2" t="s">
        <v>18</v>
      </c>
      <c r="B4" s="2" t="s">
        <v>18</v>
      </c>
      <c r="C4" s="2" t="s">
        <v>67</v>
      </c>
      <c r="D4" s="1" t="s">
        <v>113</v>
      </c>
      <c r="E4">
        <f>IF(D4&lt;&gt;"",LEN(D4),"")</f>
        <v>3</v>
      </c>
      <c r="F4">
        <v>2</v>
      </c>
      <c r="G4">
        <v>2</v>
      </c>
      <c r="H4" t="s">
        <v>98</v>
      </c>
      <c r="J4" t="s">
        <v>107</v>
      </c>
    </row>
    <row r="5" spans="1:10">
      <c r="C5" s="2" t="s">
        <v>68</v>
      </c>
      <c r="D5" s="1" t="s">
        <v>115</v>
      </c>
      <c r="E5">
        <f t="shared" ref="E5:E68" si="0">IF(D5&lt;&gt;"",LEN(D5),"")</f>
        <v>3</v>
      </c>
      <c r="F5">
        <v>0</v>
      </c>
      <c r="G5">
        <v>2</v>
      </c>
      <c r="H5" t="s">
        <v>99</v>
      </c>
      <c r="J5" t="s">
        <v>108</v>
      </c>
    </row>
    <row r="6" spans="1:10">
      <c r="C6" s="2" t="s">
        <v>69</v>
      </c>
      <c r="D6" s="1" t="s">
        <v>116</v>
      </c>
      <c r="E6">
        <f t="shared" si="0"/>
        <v>3</v>
      </c>
      <c r="F6">
        <v>2</v>
      </c>
      <c r="G6">
        <v>2</v>
      </c>
      <c r="H6" t="s">
        <v>100</v>
      </c>
      <c r="J6" t="s">
        <v>109</v>
      </c>
    </row>
    <row r="7" spans="1:10">
      <c r="C7" s="2" t="s">
        <v>92</v>
      </c>
      <c r="D7" s="1" t="s">
        <v>117</v>
      </c>
      <c r="E7">
        <f t="shared" si="0"/>
        <v>6</v>
      </c>
      <c r="F7">
        <v>0</v>
      </c>
      <c r="G7">
        <v>2</v>
      </c>
      <c r="H7" t="s">
        <v>101</v>
      </c>
      <c r="J7" t="s">
        <v>110</v>
      </c>
    </row>
    <row r="8" spans="1:10">
      <c r="C8" s="2" t="s">
        <v>93</v>
      </c>
      <c r="D8" s="1" t="s">
        <v>118</v>
      </c>
      <c r="E8">
        <f t="shared" si="0"/>
        <v>10</v>
      </c>
      <c r="F8">
        <v>2</v>
      </c>
      <c r="G8">
        <v>2</v>
      </c>
      <c r="H8" t="s">
        <v>102</v>
      </c>
      <c r="J8" t="s">
        <v>111</v>
      </c>
    </row>
    <row r="9" spans="1:10">
      <c r="A9" s="2" t="s">
        <v>28</v>
      </c>
      <c r="D9" s="1" t="s">
        <v>119</v>
      </c>
      <c r="E9">
        <f t="shared" si="0"/>
        <v>45</v>
      </c>
      <c r="F9">
        <v>0</v>
      </c>
      <c r="G9">
        <v>4</v>
      </c>
      <c r="H9" t="s">
        <v>103</v>
      </c>
      <c r="J9" t="s">
        <v>112</v>
      </c>
    </row>
    <row r="10" spans="1:10">
      <c r="A10" s="2" t="s">
        <v>29</v>
      </c>
      <c r="B10" s="2" t="s">
        <v>18</v>
      </c>
      <c r="D10" s="1" t="s">
        <v>120</v>
      </c>
      <c r="E10">
        <f t="shared" si="0"/>
        <v>20</v>
      </c>
      <c r="F10">
        <v>0</v>
      </c>
      <c r="G10">
        <v>3</v>
      </c>
      <c r="H10" t="s">
        <v>104</v>
      </c>
      <c r="J10" t="s">
        <v>114</v>
      </c>
    </row>
    <row r="11" spans="1:10">
      <c r="B11" s="2" t="s">
        <v>28</v>
      </c>
      <c r="D11" s="1" t="s">
        <v>115</v>
      </c>
      <c r="E11">
        <f t="shared" si="0"/>
        <v>3</v>
      </c>
      <c r="F11">
        <v>3</v>
      </c>
      <c r="G11">
        <v>3</v>
      </c>
      <c r="H11" t="s">
        <v>105</v>
      </c>
    </row>
    <row r="12" spans="1:10">
      <c r="B12" s="2" t="s">
        <v>29</v>
      </c>
      <c r="D12" s="1" t="s">
        <v>122</v>
      </c>
      <c r="E12">
        <f t="shared" si="0"/>
        <v>6</v>
      </c>
      <c r="F12">
        <v>3</v>
      </c>
      <c r="G12">
        <v>3</v>
      </c>
      <c r="H12" t="s">
        <v>106</v>
      </c>
      <c r="J12" t="s">
        <v>121</v>
      </c>
    </row>
    <row r="13" spans="1:10">
      <c r="B13" s="2" t="s">
        <v>30</v>
      </c>
      <c r="C13" s="2" t="s">
        <v>94</v>
      </c>
      <c r="D13" s="1" t="s">
        <v>115</v>
      </c>
      <c r="E13">
        <f t="shared" si="0"/>
        <v>3</v>
      </c>
      <c r="F13">
        <v>0</v>
      </c>
      <c r="G13">
        <v>3</v>
      </c>
      <c r="H13" t="s">
        <v>130</v>
      </c>
      <c r="J13" t="s">
        <v>124</v>
      </c>
    </row>
    <row r="14" spans="1:10">
      <c r="C14" s="2" t="s">
        <v>95</v>
      </c>
      <c r="D14" s="1" t="s">
        <v>123</v>
      </c>
      <c r="E14">
        <f t="shared" si="0"/>
        <v>13</v>
      </c>
      <c r="F14">
        <v>3</v>
      </c>
      <c r="G14">
        <v>3</v>
      </c>
      <c r="H14" t="s">
        <v>131</v>
      </c>
      <c r="J14" t="s">
        <v>125</v>
      </c>
    </row>
    <row r="15" spans="1:10">
      <c r="A15" s="2" t="s">
        <v>30</v>
      </c>
      <c r="B15" s="2" t="s">
        <v>18</v>
      </c>
      <c r="D15" s="1" t="s">
        <v>127</v>
      </c>
      <c r="E15">
        <f t="shared" si="0"/>
        <v>5</v>
      </c>
      <c r="F15">
        <v>4</v>
      </c>
      <c r="G15">
        <v>4</v>
      </c>
      <c r="J15" t="s">
        <v>126</v>
      </c>
    </row>
    <row r="16" spans="1:10">
      <c r="B16" s="2" t="s">
        <v>28</v>
      </c>
      <c r="C16" s="2" t="s">
        <v>18</v>
      </c>
      <c r="D16" s="1" t="s">
        <v>115</v>
      </c>
      <c r="E16">
        <f t="shared" si="0"/>
        <v>3</v>
      </c>
      <c r="F16">
        <v>3</v>
      </c>
      <c r="G16">
        <v>3</v>
      </c>
    </row>
    <row r="17" spans="2:7">
      <c r="C17" s="2" t="s">
        <v>28</v>
      </c>
      <c r="D17" s="1" t="s">
        <v>128</v>
      </c>
      <c r="E17">
        <f t="shared" si="0"/>
        <v>5</v>
      </c>
      <c r="F17">
        <v>0</v>
      </c>
      <c r="G17">
        <v>3</v>
      </c>
    </row>
    <row r="18" spans="2:7">
      <c r="C18" s="2" t="s">
        <v>96</v>
      </c>
      <c r="D18" s="1" t="s">
        <v>129</v>
      </c>
      <c r="E18">
        <f t="shared" si="0"/>
        <v>15</v>
      </c>
      <c r="F18">
        <v>0</v>
      </c>
      <c r="G18">
        <v>4</v>
      </c>
    </row>
    <row r="19" spans="2:7">
      <c r="B19" s="2" t="s">
        <v>29</v>
      </c>
      <c r="C19" s="2" t="s">
        <v>97</v>
      </c>
      <c r="D19" s="1" t="s">
        <v>132</v>
      </c>
      <c r="E19">
        <f t="shared" si="0"/>
        <v>5</v>
      </c>
      <c r="F19">
        <v>0</v>
      </c>
      <c r="G19">
        <v>3</v>
      </c>
    </row>
    <row r="20" spans="2:7">
      <c r="C20" s="2" t="s">
        <v>96</v>
      </c>
      <c r="D20" s="1" t="s">
        <v>133</v>
      </c>
      <c r="E20">
        <f t="shared" si="0"/>
        <v>18</v>
      </c>
      <c r="F20">
        <v>0</v>
      </c>
      <c r="G20">
        <v>4</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E3220-B43F-4EAC-B807-663F54775D81}">
  <sheetPr codeName="Sheet8"/>
  <dimension ref="A1:L167"/>
  <sheetViews>
    <sheetView zoomScale="85" zoomScaleNormal="85" workbookViewId="0">
      <pane xSplit="1" ySplit="3" topLeftCell="B4" activePane="bottomRight" state="frozen"/>
      <selection pane="topRight" activeCell="B1" sqref="B1"/>
      <selection pane="bottomLeft" activeCell="A4" sqref="A4"/>
      <selection pane="bottomRight" activeCell="E19" sqref="E19"/>
    </sheetView>
  </sheetViews>
  <sheetFormatPr defaultRowHeight="18.75"/>
  <cols>
    <col min="1" max="3" width="4.625" style="2" customWidth="1"/>
    <col min="4" max="4" width="76.75" style="1" customWidth="1"/>
    <col min="5" max="5" width="9.75" customWidth="1"/>
  </cols>
  <sheetData>
    <row r="1" spans="1:12">
      <c r="A1" s="4" t="s">
        <v>0</v>
      </c>
      <c r="B1" s="4"/>
      <c r="C1" s="4"/>
      <c r="D1" s="1" t="s">
        <v>17</v>
      </c>
    </row>
    <row r="2" spans="1:12">
      <c r="A2" s="4" t="s">
        <v>2</v>
      </c>
      <c r="B2" s="4"/>
      <c r="C2" s="4"/>
      <c r="D2" s="3" t="s">
        <v>70</v>
      </c>
      <c r="F2">
        <f>SUM(F4:F1000)</f>
        <v>40</v>
      </c>
      <c r="G2">
        <f>SUM(G4:G1000)</f>
        <v>50</v>
      </c>
    </row>
    <row r="3" spans="1:12">
      <c r="A3" s="4" t="s">
        <v>1</v>
      </c>
      <c r="B3" s="4"/>
      <c r="C3" s="4"/>
      <c r="D3" s="1" t="s">
        <v>3</v>
      </c>
      <c r="E3" t="s">
        <v>6</v>
      </c>
      <c r="F3" t="s">
        <v>4</v>
      </c>
      <c r="G3" t="s">
        <v>5</v>
      </c>
    </row>
    <row r="4" spans="1:12">
      <c r="A4" s="2" t="s">
        <v>18</v>
      </c>
      <c r="C4" s="2" t="s">
        <v>134</v>
      </c>
      <c r="D4" s="1" t="s">
        <v>161</v>
      </c>
      <c r="E4">
        <f>IF(D4&lt;&gt;"",LEN(D4),"")</f>
        <v>2</v>
      </c>
      <c r="F4">
        <v>2</v>
      </c>
      <c r="G4">
        <v>2</v>
      </c>
      <c r="H4" t="s">
        <v>151</v>
      </c>
      <c r="J4" t="s">
        <v>164</v>
      </c>
      <c r="L4" t="s">
        <v>174</v>
      </c>
    </row>
    <row r="5" spans="1:12">
      <c r="C5" s="2" t="s">
        <v>135</v>
      </c>
      <c r="D5" s="1" t="s">
        <v>162</v>
      </c>
      <c r="E5">
        <f t="shared" ref="E5:E68" si="0">IF(D5&lt;&gt;"",LEN(D5),"")</f>
        <v>3</v>
      </c>
      <c r="F5">
        <v>2</v>
      </c>
      <c r="G5">
        <v>2</v>
      </c>
      <c r="H5" t="s">
        <v>152</v>
      </c>
      <c r="J5" t="s">
        <v>165</v>
      </c>
      <c r="L5" t="s">
        <v>175</v>
      </c>
    </row>
    <row r="6" spans="1:12">
      <c r="C6" s="2" t="s">
        <v>136</v>
      </c>
      <c r="D6" s="1" t="s">
        <v>163</v>
      </c>
      <c r="E6">
        <f t="shared" si="0"/>
        <v>2</v>
      </c>
      <c r="F6">
        <v>2</v>
      </c>
      <c r="G6">
        <v>2</v>
      </c>
      <c r="H6" t="s">
        <v>153</v>
      </c>
      <c r="J6" t="s">
        <v>166</v>
      </c>
      <c r="L6" t="s">
        <v>177</v>
      </c>
    </row>
    <row r="7" spans="1:12">
      <c r="C7" s="2" t="s">
        <v>137</v>
      </c>
      <c r="D7" s="1" t="s">
        <v>176</v>
      </c>
      <c r="E7">
        <f t="shared" si="0"/>
        <v>8</v>
      </c>
      <c r="F7">
        <v>2</v>
      </c>
      <c r="G7">
        <v>2</v>
      </c>
      <c r="H7" t="s">
        <v>154</v>
      </c>
      <c r="J7" t="s">
        <v>167</v>
      </c>
    </row>
    <row r="8" spans="1:12">
      <c r="C8" s="2" t="s">
        <v>138</v>
      </c>
      <c r="D8" s="1" t="s">
        <v>178</v>
      </c>
      <c r="E8">
        <f t="shared" si="0"/>
        <v>10</v>
      </c>
      <c r="F8">
        <v>2</v>
      </c>
      <c r="G8">
        <v>2</v>
      </c>
      <c r="H8" t="s">
        <v>155</v>
      </c>
      <c r="J8" t="s">
        <v>168</v>
      </c>
    </row>
    <row r="9" spans="1:12">
      <c r="C9" s="2" t="s">
        <v>139</v>
      </c>
      <c r="D9" s="1" t="s">
        <v>175</v>
      </c>
      <c r="E9">
        <f t="shared" si="0"/>
        <v>10</v>
      </c>
      <c r="F9">
        <v>2</v>
      </c>
      <c r="G9">
        <v>2</v>
      </c>
      <c r="H9" t="s">
        <v>156</v>
      </c>
      <c r="J9" t="s">
        <v>169</v>
      </c>
    </row>
    <row r="10" spans="1:12">
      <c r="C10" s="2" t="s">
        <v>140</v>
      </c>
      <c r="D10" s="1" t="s">
        <v>179</v>
      </c>
      <c r="E10">
        <f t="shared" si="0"/>
        <v>4</v>
      </c>
      <c r="F10">
        <v>2</v>
      </c>
      <c r="G10">
        <v>2</v>
      </c>
      <c r="H10" t="s">
        <v>157</v>
      </c>
      <c r="J10" t="s">
        <v>170</v>
      </c>
    </row>
    <row r="11" spans="1:12">
      <c r="C11" s="2" t="s">
        <v>141</v>
      </c>
      <c r="D11" s="1" t="s">
        <v>180</v>
      </c>
      <c r="E11">
        <f t="shared" si="0"/>
        <v>2</v>
      </c>
      <c r="F11">
        <v>2</v>
      </c>
      <c r="G11">
        <v>2</v>
      </c>
      <c r="H11" t="s">
        <v>158</v>
      </c>
      <c r="J11" t="s">
        <v>171</v>
      </c>
    </row>
    <row r="12" spans="1:12">
      <c r="A12" s="2" t="s">
        <v>28</v>
      </c>
      <c r="B12" s="2" t="s">
        <v>18</v>
      </c>
      <c r="C12" s="2" t="s">
        <v>142</v>
      </c>
      <c r="D12" s="1" t="s">
        <v>185</v>
      </c>
      <c r="E12">
        <f t="shared" si="0"/>
        <v>2</v>
      </c>
      <c r="F12">
        <v>2</v>
      </c>
      <c r="G12">
        <v>2</v>
      </c>
      <c r="H12" t="s">
        <v>159</v>
      </c>
      <c r="J12" t="s">
        <v>172</v>
      </c>
    </row>
    <row r="13" spans="1:12">
      <c r="C13" s="2" t="s">
        <v>143</v>
      </c>
      <c r="D13" s="1" t="s">
        <v>186</v>
      </c>
      <c r="E13">
        <f t="shared" si="0"/>
        <v>2</v>
      </c>
      <c r="F13">
        <v>2</v>
      </c>
      <c r="G13">
        <v>2</v>
      </c>
      <c r="H13" t="s">
        <v>160</v>
      </c>
      <c r="J13" t="s">
        <v>173</v>
      </c>
    </row>
    <row r="14" spans="1:12">
      <c r="C14" s="2" t="s">
        <v>144</v>
      </c>
      <c r="D14" s="1" t="s">
        <v>184</v>
      </c>
      <c r="E14">
        <f t="shared" si="0"/>
        <v>2</v>
      </c>
      <c r="F14">
        <v>2</v>
      </c>
      <c r="G14">
        <v>2</v>
      </c>
      <c r="J14" t="s">
        <v>181</v>
      </c>
    </row>
    <row r="15" spans="1:12">
      <c r="C15" s="2" t="s">
        <v>145</v>
      </c>
      <c r="D15" s="1" t="s">
        <v>187</v>
      </c>
      <c r="E15">
        <f t="shared" si="0"/>
        <v>2</v>
      </c>
      <c r="F15">
        <v>2</v>
      </c>
      <c r="G15">
        <v>2</v>
      </c>
      <c r="J15" t="s">
        <v>182</v>
      </c>
    </row>
    <row r="16" spans="1:12">
      <c r="C16" s="2" t="s">
        <v>146</v>
      </c>
      <c r="D16" s="1" t="s">
        <v>188</v>
      </c>
      <c r="E16">
        <f t="shared" si="0"/>
        <v>2</v>
      </c>
      <c r="F16">
        <v>2</v>
      </c>
      <c r="G16">
        <v>2</v>
      </c>
      <c r="J16" t="s">
        <v>183</v>
      </c>
    </row>
    <row r="17" spans="2:7">
      <c r="B17" s="2" t="s">
        <v>28</v>
      </c>
      <c r="D17" s="1" t="s">
        <v>189</v>
      </c>
      <c r="E17">
        <f t="shared" si="0"/>
        <v>12</v>
      </c>
      <c r="F17">
        <v>0</v>
      </c>
      <c r="G17">
        <v>4</v>
      </c>
    </row>
    <row r="18" spans="2:7">
      <c r="B18" s="2" t="s">
        <v>29</v>
      </c>
      <c r="D18" s="1" t="s">
        <v>190</v>
      </c>
      <c r="E18">
        <f t="shared" si="0"/>
        <v>27</v>
      </c>
      <c r="F18">
        <v>4</v>
      </c>
      <c r="G18">
        <v>4</v>
      </c>
    </row>
    <row r="19" spans="2:7" ht="37.5">
      <c r="B19" s="2" t="s">
        <v>30</v>
      </c>
      <c r="D19" s="1" t="s">
        <v>191</v>
      </c>
      <c r="E19">
        <f t="shared" si="0"/>
        <v>58</v>
      </c>
      <c r="F19">
        <v>0</v>
      </c>
      <c r="G19">
        <v>4</v>
      </c>
    </row>
    <row r="20" spans="2:7">
      <c r="B20" s="2" t="s">
        <v>70</v>
      </c>
      <c r="C20" s="2" t="s">
        <v>147</v>
      </c>
      <c r="D20" s="1" t="s">
        <v>192</v>
      </c>
      <c r="E20">
        <f t="shared" si="0"/>
        <v>2</v>
      </c>
      <c r="F20">
        <v>0</v>
      </c>
      <c r="G20">
        <v>2</v>
      </c>
    </row>
    <row r="21" spans="2:7">
      <c r="C21" s="2" t="s">
        <v>148</v>
      </c>
      <c r="D21" s="1" t="s">
        <v>186</v>
      </c>
      <c r="E21">
        <f t="shared" si="0"/>
        <v>2</v>
      </c>
      <c r="F21">
        <v>2</v>
      </c>
      <c r="G21">
        <v>2</v>
      </c>
    </row>
    <row r="22" spans="2:7">
      <c r="C22" s="2" t="s">
        <v>149</v>
      </c>
      <c r="D22" s="1" t="s">
        <v>193</v>
      </c>
      <c r="E22">
        <f t="shared" si="0"/>
        <v>2</v>
      </c>
      <c r="F22">
        <v>2</v>
      </c>
      <c r="G22">
        <v>2</v>
      </c>
    </row>
    <row r="23" spans="2:7">
      <c r="C23" s="2" t="s">
        <v>150</v>
      </c>
      <c r="D23" s="1" t="s">
        <v>184</v>
      </c>
      <c r="E23">
        <f t="shared" si="0"/>
        <v>2</v>
      </c>
      <c r="F23">
        <v>2</v>
      </c>
      <c r="G23">
        <v>2</v>
      </c>
    </row>
    <row r="24" spans="2:7">
      <c r="B24" s="2" t="s">
        <v>71</v>
      </c>
      <c r="D24" s="1" t="s">
        <v>194</v>
      </c>
      <c r="E24">
        <f t="shared" si="0"/>
        <v>9</v>
      </c>
      <c r="F24">
        <v>4</v>
      </c>
      <c r="G24">
        <v>4</v>
      </c>
    </row>
    <row r="25" spans="2:7">
      <c r="D25" s="1" t="s">
        <v>195</v>
      </c>
      <c r="E25">
        <f t="shared" si="0"/>
        <v>24</v>
      </c>
    </row>
    <row r="26" spans="2:7">
      <c r="D26" s="1" t="s">
        <v>196</v>
      </c>
      <c r="E26">
        <f t="shared" si="0"/>
        <v>10</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F70F4-CACC-4717-9560-F0FB57103CED}">
  <sheetPr codeName="Sheet9"/>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25" sqref="D25"/>
    </sheetView>
  </sheetViews>
  <sheetFormatPr defaultRowHeight="18.75"/>
  <cols>
    <col min="1" max="3" width="5.625" style="2" customWidth="1"/>
    <col min="4" max="4" width="96.875" style="1" customWidth="1"/>
    <col min="5" max="7" width="6.5" customWidth="1"/>
  </cols>
  <sheetData>
    <row r="1" spans="1:11">
      <c r="A1" s="4" t="s">
        <v>0</v>
      </c>
      <c r="B1" s="4"/>
      <c r="C1" s="4"/>
      <c r="D1" s="1" t="s">
        <v>17</v>
      </c>
    </row>
    <row r="2" spans="1:11">
      <c r="A2" s="4" t="s">
        <v>2</v>
      </c>
      <c r="B2" s="4"/>
      <c r="C2" s="4"/>
      <c r="D2" s="3" t="s">
        <v>18</v>
      </c>
      <c r="F2">
        <f>SUM(F4:F1000)</f>
        <v>37</v>
      </c>
      <c r="G2">
        <f>SUM(G4:G1000)</f>
        <v>50</v>
      </c>
    </row>
    <row r="3" spans="1:11">
      <c r="A3" s="4" t="s">
        <v>1</v>
      </c>
      <c r="B3" s="4"/>
      <c r="C3" s="4"/>
      <c r="D3" s="1" t="s">
        <v>3</v>
      </c>
      <c r="E3" t="s">
        <v>6</v>
      </c>
      <c r="F3" t="s">
        <v>4</v>
      </c>
      <c r="G3" t="s">
        <v>5</v>
      </c>
    </row>
    <row r="4" spans="1:11">
      <c r="A4" s="2" t="s">
        <v>18</v>
      </c>
      <c r="C4" s="2" t="s">
        <v>22</v>
      </c>
      <c r="D4" s="1" t="s">
        <v>31</v>
      </c>
      <c r="E4">
        <f>IF(D4&lt;&gt;"",LEN(D4),"")</f>
        <v>4</v>
      </c>
      <c r="F4">
        <v>2</v>
      </c>
      <c r="G4">
        <v>2</v>
      </c>
    </row>
    <row r="5" spans="1:11">
      <c r="C5" s="2" t="s">
        <v>23</v>
      </c>
      <c r="D5" s="1" t="s">
        <v>33</v>
      </c>
      <c r="E5">
        <f t="shared" ref="E5:E68" si="0">IF(D5&lt;&gt;"",LEN(D5),"")</f>
        <v>5</v>
      </c>
      <c r="F5">
        <v>2</v>
      </c>
      <c r="G5">
        <v>2</v>
      </c>
      <c r="I5" t="s">
        <v>19</v>
      </c>
      <c r="K5" t="s">
        <v>197</v>
      </c>
    </row>
    <row r="6" spans="1:11">
      <c r="C6" s="2" t="s">
        <v>24</v>
      </c>
      <c r="D6" s="1" t="s">
        <v>38</v>
      </c>
      <c r="E6">
        <f t="shared" si="0"/>
        <v>2</v>
      </c>
      <c r="F6">
        <v>2</v>
      </c>
      <c r="G6">
        <v>2</v>
      </c>
      <c r="I6" t="s">
        <v>20</v>
      </c>
      <c r="K6" t="s">
        <v>198</v>
      </c>
    </row>
    <row r="7" spans="1:11">
      <c r="C7" s="2" t="s">
        <v>25</v>
      </c>
      <c r="D7" s="1" t="s">
        <v>43</v>
      </c>
      <c r="E7">
        <f t="shared" si="0"/>
        <v>3</v>
      </c>
      <c r="F7">
        <v>2</v>
      </c>
      <c r="G7">
        <v>2</v>
      </c>
      <c r="I7" t="s">
        <v>21</v>
      </c>
      <c r="K7" t="s">
        <v>199</v>
      </c>
    </row>
    <row r="8" spans="1:11">
      <c r="C8" s="2" t="s">
        <v>26</v>
      </c>
      <c r="D8" s="1" t="s">
        <v>39</v>
      </c>
      <c r="E8">
        <f t="shared" si="0"/>
        <v>4</v>
      </c>
      <c r="F8">
        <v>2</v>
      </c>
      <c r="G8">
        <v>2</v>
      </c>
      <c r="I8" t="s">
        <v>32</v>
      </c>
      <c r="K8" t="s">
        <v>200</v>
      </c>
    </row>
    <row r="9" spans="1:11">
      <c r="C9" s="2" t="s">
        <v>27</v>
      </c>
      <c r="D9" s="1" t="s">
        <v>44</v>
      </c>
      <c r="E9">
        <f t="shared" si="0"/>
        <v>10</v>
      </c>
      <c r="F9">
        <v>2</v>
      </c>
      <c r="G9">
        <v>2</v>
      </c>
      <c r="I9" t="s">
        <v>209</v>
      </c>
      <c r="K9" t="s">
        <v>201</v>
      </c>
    </row>
    <row r="10" spans="1:11">
      <c r="A10" s="2" t="s">
        <v>28</v>
      </c>
      <c r="B10" s="2" t="s">
        <v>18</v>
      </c>
      <c r="D10" s="1" t="s">
        <v>208</v>
      </c>
      <c r="E10">
        <f t="shared" si="0"/>
        <v>41</v>
      </c>
      <c r="F10">
        <v>0</v>
      </c>
      <c r="G10">
        <v>4</v>
      </c>
      <c r="K10" t="s">
        <v>202</v>
      </c>
    </row>
    <row r="11" spans="1:11">
      <c r="B11" s="2" t="s">
        <v>28</v>
      </c>
      <c r="D11" s="1" t="s">
        <v>35</v>
      </c>
      <c r="E11">
        <f t="shared" si="0"/>
        <v>22</v>
      </c>
      <c r="F11">
        <v>6</v>
      </c>
      <c r="G11">
        <v>6</v>
      </c>
      <c r="K11" t="s">
        <v>203</v>
      </c>
    </row>
    <row r="12" spans="1:11">
      <c r="A12" s="2" t="s">
        <v>29</v>
      </c>
      <c r="B12" s="2" t="s">
        <v>18</v>
      </c>
      <c r="D12" s="1" t="s">
        <v>210</v>
      </c>
      <c r="E12">
        <f t="shared" si="0"/>
        <v>36</v>
      </c>
      <c r="F12">
        <v>4</v>
      </c>
      <c r="G12">
        <v>4</v>
      </c>
      <c r="K12" t="s">
        <v>204</v>
      </c>
    </row>
    <row r="13" spans="1:11">
      <c r="B13" s="2" t="s">
        <v>28</v>
      </c>
      <c r="D13" s="1" t="s">
        <v>211</v>
      </c>
      <c r="E13">
        <f t="shared" si="0"/>
        <v>12</v>
      </c>
      <c r="F13">
        <v>3</v>
      </c>
      <c r="G13">
        <v>6</v>
      </c>
      <c r="K13" t="s">
        <v>205</v>
      </c>
    </row>
    <row r="14" spans="1:11">
      <c r="B14" s="2" t="s">
        <v>29</v>
      </c>
      <c r="D14" s="1" t="s">
        <v>207</v>
      </c>
      <c r="E14">
        <f t="shared" si="0"/>
        <v>2</v>
      </c>
      <c r="F14">
        <v>6</v>
      </c>
      <c r="G14">
        <v>6</v>
      </c>
      <c r="K14" t="s">
        <v>206</v>
      </c>
    </row>
    <row r="15" spans="1:11">
      <c r="B15" s="2" t="s">
        <v>30</v>
      </c>
      <c r="D15" s="1" t="s">
        <v>212</v>
      </c>
      <c r="E15">
        <f t="shared" si="0"/>
        <v>33</v>
      </c>
      <c r="F15">
        <v>0</v>
      </c>
      <c r="G15">
        <v>6</v>
      </c>
    </row>
    <row r="16" spans="1:11">
      <c r="A16" s="2" t="s">
        <v>30</v>
      </c>
      <c r="D16" s="1" t="s">
        <v>213</v>
      </c>
      <c r="E16">
        <f t="shared" si="0"/>
        <v>27</v>
      </c>
      <c r="F16">
        <v>6</v>
      </c>
      <c r="G16">
        <v>6</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EB632-4303-4F4F-A9E4-94C2EF087B21}">
  <sheetPr codeName="Sheet10"/>
  <dimension ref="A1:J167"/>
  <sheetViews>
    <sheetView tabSelected="1" zoomScale="85" zoomScaleNormal="85" workbookViewId="0">
      <pane xSplit="1" ySplit="3" topLeftCell="B4" activePane="bottomRight" state="frozen"/>
      <selection pane="topRight" activeCell="B1" sqref="B1"/>
      <selection pane="bottomLeft" activeCell="A4" sqref="A4"/>
      <selection pane="bottomRight" activeCell="F16" sqref="F16"/>
    </sheetView>
  </sheetViews>
  <sheetFormatPr defaultRowHeight="18.75"/>
  <cols>
    <col min="1" max="3" width="5.625" style="2" customWidth="1"/>
    <col min="4" max="4" width="96.875" style="1" customWidth="1"/>
    <col min="5" max="7" width="6.5" customWidth="1"/>
  </cols>
  <sheetData>
    <row r="1" spans="1:10">
      <c r="A1" s="4" t="s">
        <v>0</v>
      </c>
      <c r="B1" s="4"/>
      <c r="C1" s="4"/>
      <c r="D1" s="1" t="s">
        <v>17</v>
      </c>
    </row>
    <row r="2" spans="1:10">
      <c r="A2" s="4" t="s">
        <v>2</v>
      </c>
      <c r="B2" s="4"/>
      <c r="C2" s="4"/>
      <c r="D2" s="3" t="s">
        <v>28</v>
      </c>
      <c r="F2">
        <f>SUM(F4:F1000)</f>
        <v>35</v>
      </c>
      <c r="G2">
        <f>SUM(G4:G1000)</f>
        <v>50</v>
      </c>
    </row>
    <row r="3" spans="1:10">
      <c r="A3" s="4" t="s">
        <v>1</v>
      </c>
      <c r="B3" s="4"/>
      <c r="C3" s="4"/>
      <c r="D3" s="1" t="s">
        <v>3</v>
      </c>
      <c r="E3" t="s">
        <v>6</v>
      </c>
      <c r="F3" t="s">
        <v>4</v>
      </c>
      <c r="G3" t="s">
        <v>5</v>
      </c>
    </row>
    <row r="4" spans="1:10">
      <c r="A4" s="2" t="s">
        <v>18</v>
      </c>
      <c r="C4" s="2" t="s">
        <v>22</v>
      </c>
      <c r="D4" s="1" t="s">
        <v>53</v>
      </c>
      <c r="E4">
        <f>IF(D4&lt;&gt;"",LEN(D4),"")</f>
        <v>3</v>
      </c>
      <c r="F4">
        <v>2</v>
      </c>
      <c r="G4">
        <v>2</v>
      </c>
      <c r="H4" t="s">
        <v>45</v>
      </c>
      <c r="J4" t="s">
        <v>214</v>
      </c>
    </row>
    <row r="5" spans="1:10">
      <c r="C5" s="2" t="s">
        <v>23</v>
      </c>
      <c r="D5" s="1" t="s">
        <v>54</v>
      </c>
      <c r="E5">
        <f t="shared" ref="E5:E68" si="0">IF(D5&lt;&gt;"",LEN(D5),"")</f>
        <v>5</v>
      </c>
      <c r="F5">
        <v>2</v>
      </c>
      <c r="G5">
        <v>2</v>
      </c>
      <c r="H5" t="s">
        <v>46</v>
      </c>
      <c r="J5" t="s">
        <v>215</v>
      </c>
    </row>
    <row r="6" spans="1:10">
      <c r="C6" s="2" t="s">
        <v>24</v>
      </c>
      <c r="D6" s="1" t="s">
        <v>55</v>
      </c>
      <c r="E6">
        <f t="shared" si="0"/>
        <v>6</v>
      </c>
      <c r="F6">
        <v>2</v>
      </c>
      <c r="G6">
        <v>2</v>
      </c>
      <c r="H6" t="s">
        <v>47</v>
      </c>
      <c r="J6" t="s">
        <v>216</v>
      </c>
    </row>
    <row r="7" spans="1:10">
      <c r="C7" s="2" t="s">
        <v>25</v>
      </c>
      <c r="D7" s="1" t="s">
        <v>56</v>
      </c>
      <c r="E7">
        <f t="shared" si="0"/>
        <v>6</v>
      </c>
      <c r="F7">
        <v>2</v>
      </c>
      <c r="G7">
        <v>2</v>
      </c>
      <c r="H7" t="s">
        <v>48</v>
      </c>
      <c r="J7" t="s">
        <v>217</v>
      </c>
    </row>
    <row r="8" spans="1:10">
      <c r="C8" s="2" t="s">
        <v>26</v>
      </c>
      <c r="D8" s="1" t="s">
        <v>220</v>
      </c>
      <c r="E8">
        <f t="shared" si="0"/>
        <v>7</v>
      </c>
      <c r="F8">
        <v>2</v>
      </c>
      <c r="G8">
        <v>2</v>
      </c>
      <c r="H8" t="s">
        <v>49</v>
      </c>
      <c r="J8" t="s">
        <v>218</v>
      </c>
    </row>
    <row r="9" spans="1:10">
      <c r="A9" s="2" t="s">
        <v>28</v>
      </c>
      <c r="B9" s="2" t="s">
        <v>18</v>
      </c>
      <c r="D9" s="1" t="s">
        <v>58</v>
      </c>
      <c r="E9">
        <f t="shared" si="0"/>
        <v>4</v>
      </c>
      <c r="F9">
        <v>5</v>
      </c>
      <c r="G9">
        <v>5</v>
      </c>
      <c r="H9" t="s">
        <v>50</v>
      </c>
      <c r="J9" t="s">
        <v>219</v>
      </c>
    </row>
    <row r="10" spans="1:10">
      <c r="B10" s="2" t="s">
        <v>28</v>
      </c>
      <c r="D10" s="1" t="s">
        <v>221</v>
      </c>
      <c r="E10">
        <f t="shared" si="0"/>
        <v>19</v>
      </c>
      <c r="F10">
        <v>5</v>
      </c>
      <c r="G10">
        <v>5</v>
      </c>
      <c r="H10" t="s">
        <v>51</v>
      </c>
      <c r="J10" t="s">
        <v>228</v>
      </c>
    </row>
    <row r="11" spans="1:10">
      <c r="A11" s="2" t="s">
        <v>29</v>
      </c>
      <c r="B11" s="2" t="s">
        <v>18</v>
      </c>
      <c r="D11" s="1" t="s">
        <v>223</v>
      </c>
      <c r="E11">
        <f t="shared" si="0"/>
        <v>12</v>
      </c>
      <c r="F11">
        <v>2</v>
      </c>
      <c r="G11">
        <v>4</v>
      </c>
      <c r="H11" t="s">
        <v>52</v>
      </c>
      <c r="J11" t="s">
        <v>229</v>
      </c>
    </row>
    <row r="12" spans="1:10">
      <c r="B12" s="2" t="s">
        <v>28</v>
      </c>
      <c r="D12" s="1" t="s">
        <v>224</v>
      </c>
      <c r="E12">
        <f t="shared" si="0"/>
        <v>10</v>
      </c>
      <c r="F12">
        <v>5</v>
      </c>
      <c r="G12">
        <v>5</v>
      </c>
      <c r="H12" t="s">
        <v>222</v>
      </c>
    </row>
    <row r="13" spans="1:10">
      <c r="B13" s="2" t="s">
        <v>29</v>
      </c>
      <c r="D13" s="1" t="s">
        <v>226</v>
      </c>
      <c r="E13">
        <f t="shared" si="0"/>
        <v>15</v>
      </c>
      <c r="F13">
        <v>2</v>
      </c>
      <c r="G13">
        <v>5</v>
      </c>
      <c r="H13" t="s">
        <v>225</v>
      </c>
    </row>
    <row r="14" spans="1:10">
      <c r="A14" s="2" t="s">
        <v>30</v>
      </c>
      <c r="B14" s="2" t="s">
        <v>18</v>
      </c>
      <c r="D14" s="1" t="s">
        <v>227</v>
      </c>
      <c r="E14">
        <f t="shared" si="0"/>
        <v>24</v>
      </c>
      <c r="F14">
        <v>5</v>
      </c>
      <c r="G14">
        <v>5</v>
      </c>
    </row>
    <row r="15" spans="1:10">
      <c r="B15" s="2" t="s">
        <v>28</v>
      </c>
      <c r="D15" s="1" t="s">
        <v>230</v>
      </c>
      <c r="E15">
        <f t="shared" si="0"/>
        <v>9</v>
      </c>
      <c r="F15">
        <v>1</v>
      </c>
      <c r="G15">
        <v>5</v>
      </c>
    </row>
    <row r="16" spans="1:10">
      <c r="B16" s="2" t="s">
        <v>29</v>
      </c>
      <c r="C16" s="2" t="s">
        <v>18</v>
      </c>
      <c r="D16" s="1" t="s">
        <v>231</v>
      </c>
      <c r="E16">
        <f t="shared" si="0"/>
        <v>7</v>
      </c>
      <c r="F16">
        <v>0</v>
      </c>
      <c r="G16">
        <v>3</v>
      </c>
    </row>
    <row r="17" spans="3:7">
      <c r="C17" s="2" t="s">
        <v>28</v>
      </c>
      <c r="D17" s="1" t="s">
        <v>232</v>
      </c>
      <c r="E17">
        <f t="shared" si="0"/>
        <v>20</v>
      </c>
      <c r="F17">
        <v>0</v>
      </c>
      <c r="G17">
        <v>3</v>
      </c>
    </row>
    <row r="18" spans="3:7">
      <c r="E18" t="str">
        <f t="shared" si="0"/>
        <v/>
      </c>
    </row>
    <row r="19" spans="3:7">
      <c r="E19" t="str">
        <f t="shared" si="0"/>
        <v/>
      </c>
    </row>
    <row r="20" spans="3:7">
      <c r="E20" t="str">
        <f t="shared" si="0"/>
        <v/>
      </c>
    </row>
    <row r="21" spans="3:7">
      <c r="E21" t="str">
        <f t="shared" si="0"/>
        <v/>
      </c>
    </row>
    <row r="22" spans="3:7">
      <c r="E22" t="str">
        <f t="shared" si="0"/>
        <v/>
      </c>
    </row>
    <row r="23" spans="3:7">
      <c r="E23" t="str">
        <f t="shared" si="0"/>
        <v/>
      </c>
    </row>
    <row r="24" spans="3:7">
      <c r="E24" t="str">
        <f t="shared" si="0"/>
        <v/>
      </c>
    </row>
    <row r="25" spans="3:7">
      <c r="E25" t="str">
        <f t="shared" si="0"/>
        <v/>
      </c>
    </row>
    <row r="26" spans="3:7">
      <c r="E26" t="str">
        <f t="shared" si="0"/>
        <v/>
      </c>
    </row>
    <row r="27" spans="3:7">
      <c r="E27" t="str">
        <f t="shared" si="0"/>
        <v/>
      </c>
    </row>
    <row r="28" spans="3:7">
      <c r="E28" t="str">
        <f t="shared" si="0"/>
        <v/>
      </c>
    </row>
    <row r="29" spans="3:7">
      <c r="E29" t="str">
        <f t="shared" si="0"/>
        <v/>
      </c>
    </row>
    <row r="30" spans="3:7">
      <c r="E30" t="str">
        <f t="shared" si="0"/>
        <v/>
      </c>
    </row>
    <row r="31" spans="3:7">
      <c r="E31" t="str">
        <f t="shared" si="0"/>
        <v/>
      </c>
    </row>
    <row r="32" spans="3: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format</vt:lpstr>
      <vt:lpstr>レビュー</vt:lpstr>
      <vt:lpstr>1</vt:lpstr>
      <vt:lpstr>2</vt:lpstr>
      <vt:lpstr>3</vt:lpstr>
      <vt:lpstr>4</vt:lpstr>
      <vt:lpstr>5</vt:lpstr>
      <vt:lpstr>1_2</vt:lpstr>
      <vt:lpstr>2_2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2026-08-16T09:46:59Z</dcterms:modified>
</cp:coreProperties>
</file>