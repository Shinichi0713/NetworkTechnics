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3DF27062-890F-49EA-9AA5-DD7F956FB748}" xr6:coauthVersionLast="47" xr6:coauthVersionMax="47" xr10:uidLastSave="{00000000-0000-0000-0000-000000000000}"/>
  <bookViews>
    <workbookView xWindow="2055" yWindow="360" windowWidth="22125" windowHeight="14580" activeTab="2" xr2:uid="{00000000-000D-0000-FFFF-FFFF00000000}"/>
  </bookViews>
  <sheets>
    <sheet name="レビュー" sheetId="2" r:id="rId1"/>
    <sheet name="1" sheetId="5" r:id="rId2"/>
    <sheet name="2" sheetId="4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5" l="1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<sst xmlns="http://schemas.openxmlformats.org/spreadsheetml/2006/main" count="65" uniqueCount="45">
  <si>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</si>
  <si>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</si>
  <si>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</si>
  <si>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</si>
  <si>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</si>
  <si>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</si>
  <si>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</si>
  <si>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</si>
  <si>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</si>
  <si>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</si>
  <si>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</si>
  <si>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</si>
  <si>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</si>
  <si>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</si>
  <si>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</si>
  <si>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</si>
  <si>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</si>
  <si>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4">
      <t>ジュウテンタイサク</t>
    </rPh>
    <phoneticPr fontId="1"/>
  </si>
  <si>
    <t>1</t>
    <phoneticPr fontId="1"/>
  </si>
  <si>
    <t>K社は加工食品販売会社</t>
    <rPh sb="1" eb="2">
      <t>シャ</t>
    </rPh>
    <rPh sb="3" eb="7">
      <t>カコウショクヒン</t>
    </rPh>
    <rPh sb="7" eb="9">
      <t>ハンバイ</t>
    </rPh>
    <rPh sb="9" eb="11">
      <t>カイシャ</t>
    </rPh>
    <phoneticPr fontId="1"/>
  </si>
  <si>
    <t>販売間ンりシステムを更新する予定</t>
    <rPh sb="0" eb="3">
      <t>ハンバイカン</t>
    </rPh>
    <rPh sb="10" eb="12">
      <t>コウシン</t>
    </rPh>
    <rPh sb="14" eb="16">
      <t>ヨテイ</t>
    </rPh>
    <phoneticPr fontId="1"/>
  </si>
  <si>
    <t>L社クラウド</t>
    <rPh sb="1" eb="2">
      <t>シャ</t>
    </rPh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</si>
  <si>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</si>
  <si>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</si>
  <si>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</si>
  <si>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</si>
  <si>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</si>
  <si>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カ</t>
    <phoneticPr fontId="1"/>
  </si>
  <si>
    <t>2</t>
    <phoneticPr fontId="1"/>
  </si>
  <si>
    <t>3</t>
    <phoneticPr fontId="1"/>
  </si>
  <si>
    <t>4</t>
    <phoneticPr fontId="1"/>
  </si>
  <si>
    <t>NAPT</t>
    <phoneticPr fontId="1"/>
  </si>
  <si>
    <t>VPNルータ</t>
    <phoneticPr fontId="1"/>
  </si>
  <si>
    <t>事前共有鍵</t>
    <rPh sb="0" eb="5">
      <t>ジゼンキョウユウカギ</t>
    </rPh>
    <phoneticPr fontId="1"/>
  </si>
  <si>
    <t>暗号化対象の通信がグローバルIPアドレスの区間のため</t>
    <rPh sb="0" eb="3">
      <t>アンゴウカ</t>
    </rPh>
    <rPh sb="3" eb="5">
      <t>タイショウ</t>
    </rPh>
    <rPh sb="6" eb="8">
      <t>ツウシン</t>
    </rPh>
    <rPh sb="21" eb="23">
      <t>クカン</t>
    </rPh>
    <phoneticPr fontId="1"/>
  </si>
  <si>
    <t>フラグメントとリアセンブルの処理が発生する。</t>
    <rPh sb="14" eb="16">
      <t>ショリ</t>
    </rPh>
    <rPh sb="17" eb="19">
      <t>ハッセイ</t>
    </rPh>
    <phoneticPr fontId="1"/>
  </si>
  <si>
    <t>BGPにより回線断や機器障害を検知し、トラフィックを迂回できるため</t>
    <rPh sb="6" eb="9">
      <t>カイセンダン</t>
    </rPh>
    <rPh sb="10" eb="14">
      <t>キキショウガイ</t>
    </rPh>
    <rPh sb="15" eb="17">
      <t>ケンチ</t>
    </rPh>
    <rPh sb="26" eb="28">
      <t>ウカイ</t>
    </rPh>
    <phoneticPr fontId="1"/>
  </si>
  <si>
    <t>Helloパケットを出す必要がない</t>
    <rPh sb="10" eb="11">
      <t>ダ</t>
    </rPh>
    <rPh sb="12" eb="14">
      <t>ヒツヨウ</t>
    </rPh>
    <phoneticPr fontId="1"/>
  </si>
  <si>
    <t>AS</t>
    <phoneticPr fontId="1"/>
  </si>
  <si>
    <t>ICMP</t>
    <phoneticPr fontId="1"/>
  </si>
  <si>
    <t>大きく</t>
    <rPh sb="0" eb="1">
      <t>オオ</t>
    </rPh>
    <phoneticPr fontId="1"/>
  </si>
  <si>
    <t>eBGPからOSPFへ再配布された経路をeBGPへ再配布しない</t>
    <rPh sb="11" eb="14">
      <t>サイハイフ</t>
    </rPh>
    <rPh sb="17" eb="19">
      <t>ケイロ</t>
    </rPh>
    <rPh sb="25" eb="28">
      <t>サイハイフ</t>
    </rPh>
    <phoneticPr fontId="1"/>
  </si>
  <si>
    <t>ネットワークの冗長構成が失われたことを検出すいるため</t>
    <rPh sb="7" eb="11">
      <t>ジョウチョウコウセイ</t>
    </rPh>
    <rPh sb="12" eb="13">
      <t>ウシナ</t>
    </rPh>
    <rPh sb="19" eb="21">
      <t>ケンシュツ</t>
    </rPh>
    <phoneticPr fontId="1"/>
  </si>
  <si>
    <t>TCP</t>
    <phoneticPr fontId="1"/>
  </si>
  <si>
    <t>echo reply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</si>
</sst>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698E-195F-4958-9601-7E93F0A796C4}">
  <sheetPr codeName="Sheet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8" sqref="D28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9">
      <c r="A1" s="4" t="s">
        <v>0</v>
      </c>
      <c r="B1" s="4"/>
      <c r="C1" s="4"/>
      <c r="D1" s="1" t="s">
        <v>17</v>
      </c>
    </row>
    <row r="2" spans="1:9">
      <c r="A2" s="4" t="s">
        <v>2</v>
      </c>
      <c r="B2" s="4"/>
      <c r="C2" s="4"/>
      <c r="D2" s="3" t="s">
        <v>18</v>
      </c>
      <c r="F2">
        <f>SUM(F4:F1000)</f>
        <v>16</v>
      </c>
      <c r="G2">
        <f>SUM(G4:G1000)</f>
        <v>50</v>
      </c>
    </row>
    <row r="3" spans="1:9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9">
      <c r="A4" s="2" t="s">
        <v>18</v>
      </c>
      <c r="C4" s="2" t="s">
        <v>22</v>
      </c>
      <c r="D4" s="1" t="s">
        <v>31</v>
      </c>
      <c r="E4">
        <f>IF(D4&lt;&gt;"",LEN(D4),"")</f>
        <v>4</v>
      </c>
      <c r="F4">
        <v>2</v>
      </c>
      <c r="G4">
        <v>2</v>
      </c>
    </row>
    <row r="5" spans="1:9">
      <c r="C5" s="2" t="s">
        <v>23</v>
      </c>
      <c r="D5" s="1" t="s">
        <v>33</v>
      </c>
      <c r="E5">
        <f t="shared" ref="E5:E68" si="0">IF(D5&lt;&gt;"",LEN(D5),"")</f>
        <v>5</v>
      </c>
      <c r="F5">
        <v>2</v>
      </c>
      <c r="G5">
        <v>2</v>
      </c>
      <c r="I5" t="s">
        <v>19</v>
      </c>
    </row>
    <row r="6" spans="1:9">
      <c r="C6" s="2" t="s">
        <v>24</v>
      </c>
      <c r="D6" s="1" t="s">
        <v>38</v>
      </c>
      <c r="E6">
        <f t="shared" si="0"/>
        <v>2</v>
      </c>
      <c r="F6">
        <v>2</v>
      </c>
      <c r="G6">
        <v>2</v>
      </c>
      <c r="I6" t="s">
        <v>20</v>
      </c>
    </row>
    <row r="7" spans="1:9">
      <c r="C7" s="2" t="s">
        <v>25</v>
      </c>
      <c r="D7" s="1" t="s">
        <v>43</v>
      </c>
      <c r="E7">
        <f t="shared" si="0"/>
        <v>3</v>
      </c>
      <c r="F7">
        <v>0</v>
      </c>
      <c r="G7">
        <v>2</v>
      </c>
      <c r="I7" t="s">
        <v>21</v>
      </c>
    </row>
    <row r="8" spans="1:9">
      <c r="C8" s="2" t="s">
        <v>26</v>
      </c>
      <c r="D8" s="1" t="s">
        <v>39</v>
      </c>
      <c r="E8">
        <f t="shared" si="0"/>
        <v>4</v>
      </c>
      <c r="F8">
        <v>0</v>
      </c>
      <c r="G8">
        <v>2</v>
      </c>
      <c r="I8" t="s">
        <v>32</v>
      </c>
    </row>
    <row r="9" spans="1:9">
      <c r="C9" s="2" t="s">
        <v>27</v>
      </c>
      <c r="D9" s="1" t="s">
        <v>44</v>
      </c>
      <c r="E9">
        <f t="shared" si="0"/>
        <v>10</v>
      </c>
      <c r="F9">
        <v>0</v>
      </c>
      <c r="G9">
        <v>2</v>
      </c>
    </row>
    <row r="10" spans="1:9">
      <c r="A10" s="2" t="s">
        <v>28</v>
      </c>
      <c r="B10" s="2" t="s">
        <v>18</v>
      </c>
      <c r="D10" s="1" t="s">
        <v>34</v>
      </c>
      <c r="E10">
        <f t="shared" si="0"/>
        <v>26</v>
      </c>
      <c r="F10">
        <v>0</v>
      </c>
      <c r="G10">
        <v>4</v>
      </c>
    </row>
    <row r="11" spans="1:9">
      <c r="B11" s="2" t="s">
        <v>28</v>
      </c>
      <c r="D11" s="1" t="s">
        <v>35</v>
      </c>
      <c r="E11">
        <f t="shared" si="0"/>
        <v>22</v>
      </c>
      <c r="F11">
        <v>3</v>
      </c>
      <c r="G11">
        <v>6</v>
      </c>
    </row>
    <row r="12" spans="1:9">
      <c r="A12" s="2" t="s">
        <v>29</v>
      </c>
      <c r="B12" s="2" t="s">
        <v>18</v>
      </c>
      <c r="D12" s="1" t="s">
        <v>36</v>
      </c>
      <c r="E12">
        <f t="shared" si="0"/>
        <v>33</v>
      </c>
      <c r="F12">
        <v>4</v>
      </c>
      <c r="G12">
        <v>4</v>
      </c>
    </row>
    <row r="13" spans="1:9">
      <c r="B13" s="2" t="s">
        <v>28</v>
      </c>
      <c r="D13" s="1" t="s">
        <v>37</v>
      </c>
      <c r="E13">
        <f t="shared" si="0"/>
        <v>17</v>
      </c>
      <c r="F13">
        <v>0</v>
      </c>
      <c r="G13">
        <v>6</v>
      </c>
    </row>
    <row r="14" spans="1:9">
      <c r="B14" s="2" t="s">
        <v>29</v>
      </c>
      <c r="D14" s="1" t="s">
        <v>40</v>
      </c>
      <c r="E14">
        <f t="shared" si="0"/>
        <v>3</v>
      </c>
      <c r="F14">
        <v>3</v>
      </c>
      <c r="G14">
        <v>6</v>
      </c>
    </row>
    <row r="15" spans="1:9">
      <c r="B15" s="2" t="s">
        <v>30</v>
      </c>
      <c r="D15" s="1" t="s">
        <v>41</v>
      </c>
      <c r="E15">
        <f t="shared" si="0"/>
        <v>31</v>
      </c>
      <c r="F15">
        <v>0</v>
      </c>
      <c r="G15">
        <v>6</v>
      </c>
    </row>
    <row r="16" spans="1:9">
      <c r="A16" s="2" t="s">
        <v>30</v>
      </c>
      <c r="D16" s="1" t="s">
        <v>42</v>
      </c>
      <c r="E16">
        <f t="shared" si="0"/>
        <v>26</v>
      </c>
      <c r="F16">
        <v>0</v>
      </c>
      <c r="G16">
        <v>6</v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G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1" sqref="D11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7">
      <c r="A1" s="4" t="s">
        <v>0</v>
      </c>
      <c r="B1" s="4"/>
      <c r="C1" s="4"/>
      <c r="D1" s="1" t="s">
        <v>17</v>
      </c>
    </row>
    <row r="2" spans="1:7">
      <c r="A2" s="4" t="s">
        <v>2</v>
      </c>
      <c r="B2" s="4"/>
      <c r="C2" s="4"/>
      <c r="D2" s="3" t="s">
        <v>28</v>
      </c>
      <c r="F2">
        <f>SUM(F4:F1000)</f>
        <v>0</v>
      </c>
      <c r="G2">
        <f>SUM(G4:G1000)</f>
        <v>0</v>
      </c>
    </row>
    <row r="3" spans="1:7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2026-01-24T13:45:42Z</dcterms:modified>
</cp:coreProperties>
</file>