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1E466EC2-E07F-4AB4-BB91-535768BA3DE8}" xr6:coauthVersionLast="47" xr6:coauthVersionMax="47" xr10:uidLastSave="{00000000-0000-0000-0000-000000000000}"/>
  <bookViews>
    <workbookView xWindow="105" yWindow="270" windowWidth="17220" windowHeight="14955" activeTab="4" xr2:uid="{00000000-000D-0000-FFFF-FFFF00000000}"/>
  </bookViews>
  <sheets>
    <sheet name="レビュー" sheetId="2" r:id="rId1"/>
    <sheet name="format" sheetId="6" r:id="rId2"/>
    <sheet name="1" sheetId="5" r:id="rId3"/>
    <sheet name="2" sheetId="4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7" l="1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G2" i="7"/>
  <c r="F2" i="7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<sst xmlns="http://schemas.openxmlformats.org/spreadsheetml/2006/main" count="153" uniqueCount="92">
  <si>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</si>
  <si>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</si>
  <si>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</si>
  <si>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</si>
  <si>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</si>
  <si>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</si>
  <si>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</si>
  <si>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</si>
  <si>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</si>
  <si>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</si>
  <si>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</si>
  <si>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</si>
  <si>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</si>
  <si>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</si>
  <si>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</si>
  <si>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</si>
  <si>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</si>
  <si>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</si>
  <si>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1</t>
    <phoneticPr fontId="1"/>
  </si>
  <si>
    <t>K社は加工食品販売会社</t>
    <rPh sb="1" eb="2">
      <t>シャ</t>
    </rPh>
    <rPh sb="3" eb="7">
      <t>カコウショクヒン</t>
    </rPh>
    <rPh sb="7" eb="9">
      <t>ハンバイ</t>
    </rPh>
    <rPh sb="9" eb="11">
      <t>カイシャ</t>
    </rPh>
    <phoneticPr fontId="1"/>
  </si>
  <si>
    <t>販売間ンりシステムを更新する予定</t>
    <rPh sb="0" eb="3">
      <t>ハンバイカン</t>
    </rPh>
    <rPh sb="10" eb="12">
      <t>コウシン</t>
    </rPh>
    <rPh sb="14" eb="16">
      <t>ヨテイ</t>
    </rPh>
    <phoneticPr fontId="1"/>
  </si>
  <si>
    <t>L社クラウド</t>
    <rPh sb="1" eb="2">
      <t>シャ</t>
    </rPh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</si>
  <si>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</si>
  <si>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</si>
  <si>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</si>
  <si>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</si>
  <si>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</si>
  <si>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</si>
  <si>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2</t>
    <phoneticPr fontId="1"/>
  </si>
  <si>
    <t>3</t>
    <phoneticPr fontId="1"/>
  </si>
  <si>
    <t>4</t>
    <phoneticPr fontId="1"/>
  </si>
  <si>
    <t>NAPT</t>
    <phoneticPr fontId="1"/>
  </si>
  <si>
    <t>VPNルータ</t>
    <phoneticPr fontId="1"/>
  </si>
  <si>
    <t>事前共有鍵</t>
    <rPh sb="0" eb="5">
      <t>ジゼンキョウユウカギ</t>
    </rPh>
    <phoneticPr fontId="1"/>
  </si>
  <si>
    <t>暗号化対象の通信がグローバルIPアドレスの区間のため</t>
    <rPh sb="0" eb="3">
      <t>アンゴウカ</t>
    </rPh>
    <rPh sb="3" eb="5">
      <t>タイショウ</t>
    </rPh>
    <rPh sb="6" eb="8">
      <t>ツウシン</t>
    </rPh>
    <rPh sb="21" eb="23">
      <t>クカン</t>
    </rPh>
    <phoneticPr fontId="1"/>
  </si>
  <si>
    <t>フラグメントとリアセンブルの処理が発生する。</t>
    <rPh sb="14" eb="16">
      <t>ショリ</t>
    </rPh>
    <rPh sb="17" eb="19">
      <t>ハッセイ</t>
    </rPh>
    <phoneticPr fontId="1"/>
  </si>
  <si>
    <t>BGPにより回線断や機器障害を検知し、トラフィックを迂回できるため</t>
    <rPh sb="6" eb="9">
      <t>カイセンダン</t>
    </rPh>
    <rPh sb="10" eb="14">
      <t>キキショウガイ</t>
    </rPh>
    <rPh sb="15" eb="17">
      <t>ケンチ</t>
    </rPh>
    <rPh sb="26" eb="28">
      <t>ウカイ</t>
    </rPh>
    <phoneticPr fontId="1"/>
  </si>
  <si>
    <t>Helloパケットを出す必要がない</t>
    <rPh sb="10" eb="11">
      <t>ダ</t>
    </rPh>
    <rPh sb="12" eb="14">
      <t>ヒツヨウ</t>
    </rPh>
    <phoneticPr fontId="1"/>
  </si>
  <si>
    <t>AS</t>
    <phoneticPr fontId="1"/>
  </si>
  <si>
    <t>ICMP</t>
    <phoneticPr fontId="1"/>
  </si>
  <si>
    <t>大きく</t>
    <rPh sb="0" eb="1">
      <t>オオ</t>
    </rPh>
    <phoneticPr fontId="1"/>
  </si>
  <si>
    <t>eBGPからOSPFへ再配布された経路をeBGPへ再配布しない</t>
    <rPh sb="11" eb="14">
      <t>サイハイフ</t>
    </rPh>
    <rPh sb="17" eb="19">
      <t>ケイロ</t>
    </rPh>
    <rPh sb="25" eb="28">
      <t>サイハイフ</t>
    </rPh>
    <phoneticPr fontId="1"/>
  </si>
  <si>
    <t>ネットワークの冗長構成が失われたことを検出すいるため</t>
    <rPh sb="7" eb="11">
      <t>ジョウチョウコウセイ</t>
    </rPh>
    <rPh sb="12" eb="13">
      <t>ウシナ</t>
    </rPh>
    <rPh sb="19" eb="21">
      <t>ケンシュツ</t>
    </rPh>
    <phoneticPr fontId="1"/>
  </si>
  <si>
    <t>TCP</t>
    <phoneticPr fontId="1"/>
  </si>
  <si>
    <t>echo reply</t>
    <phoneticPr fontId="1"/>
  </si>
  <si>
    <t>社内ネットワーク</t>
    <rPh sb="0" eb="2">
      <t>シャナイ</t>
    </rPh>
    <phoneticPr fontId="1"/>
  </si>
  <si>
    <t>WANの見直し</t>
    <rPh sb="4" eb="6">
      <t>ミナオ</t>
    </rPh>
    <phoneticPr fontId="1"/>
  </si>
  <si>
    <t>コスト見直し</t>
    <rPh sb="3" eb="5">
      <t>ミナオ</t>
    </rPh>
    <phoneticPr fontId="1"/>
  </si>
  <si>
    <t>IP-VPNを利用</t>
    <rPh sb="7" eb="9">
      <t>リヨウ</t>
    </rPh>
    <phoneticPr fontId="1"/>
  </si>
  <si>
    <t>イーサネット回線</t>
    <rPh sb="6" eb="8">
      <t>カイセン</t>
    </rPh>
    <phoneticPr fontId="1"/>
  </si>
  <si>
    <t>IpsecのVPN</t>
    <phoneticPr fontId="1"/>
  </si>
  <si>
    <t>VPN専用の回線を解説しFW</t>
    <rPh sb="3" eb="5">
      <t>センヨウ</t>
    </rPh>
    <rPh sb="6" eb="8">
      <t>カイセン</t>
    </rPh>
    <rPh sb="9" eb="11">
      <t>カイセツ</t>
    </rPh>
    <phoneticPr fontId="1"/>
  </si>
  <si>
    <t>IP-VPNはIPネットワークをトラフィック交換に提供する</t>
    <rPh sb="22" eb="24">
      <t>コウカン</t>
    </rPh>
    <rPh sb="25" eb="27">
      <t>テイキョウ</t>
    </rPh>
    <phoneticPr fontId="1"/>
  </si>
  <si>
    <t>ラベル</t>
    <phoneticPr fontId="1"/>
  </si>
  <si>
    <t>PEルータ</t>
    <phoneticPr fontId="1"/>
  </si>
  <si>
    <t>ネットワーク</t>
    <phoneticPr fontId="1"/>
  </si>
  <si>
    <t>IP-VPN</t>
    <phoneticPr fontId="1"/>
  </si>
  <si>
    <t>Internet VPN</t>
    <phoneticPr fontId="1"/>
  </si>
  <si>
    <t>MPLS</t>
    <phoneticPr fontId="1"/>
  </si>
  <si>
    <t>利用者ごとのトラフィックを区別する</t>
    <rPh sb="0" eb="3">
      <t>リヨウシャ</t>
    </rPh>
    <rPh sb="13" eb="15">
      <t>クベツ</t>
    </rPh>
    <phoneticPr fontId="1"/>
  </si>
  <si>
    <t>OSPFのマルチキャスト通信を通すため</t>
    <rPh sb="12" eb="14">
      <t>ツウシン</t>
    </rPh>
    <rPh sb="15" eb="16">
      <t>トオ</t>
    </rPh>
    <phoneticPr fontId="1"/>
  </si>
  <si>
    <t>他の拠点への経路情報</t>
    <rPh sb="0" eb="1">
      <t>ホカ</t>
    </rPh>
    <rPh sb="2" eb="4">
      <t>キョテン</t>
    </rPh>
    <rPh sb="6" eb="10">
      <t>ケイロジョウホウ</t>
    </rPh>
    <phoneticPr fontId="1"/>
  </si>
  <si>
    <t>IP-VPNを優先するようBGP4の経路情報を優先する</t>
    <rPh sb="7" eb="9">
      <t>ユウセン</t>
    </rPh>
    <rPh sb="18" eb="20">
      <t>ケイロ</t>
    </rPh>
    <rPh sb="20" eb="22">
      <t>ジョウホウ</t>
    </rPh>
    <rPh sb="23" eb="25">
      <t>ユウセン</t>
    </rPh>
    <phoneticPr fontId="1"/>
  </si>
  <si>
    <t>新拠点追加時に全拠点の設定変更が必要となるため</t>
    <rPh sb="0" eb="3">
      <t>シンキョテン</t>
    </rPh>
    <rPh sb="3" eb="5">
      <t>ツイカ</t>
    </rPh>
    <rPh sb="5" eb="6">
      <t>ジ</t>
    </rPh>
    <rPh sb="7" eb="10">
      <t>ゼンキョテン</t>
    </rPh>
    <rPh sb="11" eb="13">
      <t>セッテイ</t>
    </rPh>
    <rPh sb="13" eb="15">
      <t>ヘンコウ</t>
    </rPh>
    <rPh sb="16" eb="18">
      <t>ヒツヨウ</t>
    </rPh>
    <phoneticPr fontId="1"/>
  </si>
  <si>
    <t>大阪のFW2のグローバルIPアドレス</t>
    <rPh sb="0" eb="2">
      <t>オオサカ</t>
    </rPh>
    <phoneticPr fontId="1"/>
  </si>
  <si>
    <t>FW2, FW3</t>
    <phoneticPr fontId="1"/>
  </si>
  <si>
    <t>OSPFのPRを0に設定する</t>
    <rPh sb="10" eb="12">
      <t>セッテイ</t>
    </rPh>
    <phoneticPr fontId="1"/>
  </si>
  <si>
    <t>a</t>
    <phoneticPr fontId="1"/>
  </si>
  <si>
    <t>b</t>
    <phoneticPr fontId="1"/>
  </si>
  <si>
    <t>c</t>
    <phoneticPr fontId="1"/>
  </si>
  <si>
    <t>5</t>
    <phoneticPr fontId="1"/>
  </si>
  <si>
    <t>6</t>
    <phoneticPr fontId="1"/>
  </si>
  <si>
    <t>zはデータセンタ</t>
    <phoneticPr fontId="1"/>
  </si>
  <si>
    <t>データセンタビル</t>
    <phoneticPr fontId="1"/>
  </si>
  <si>
    <t>複数フロアに所有</t>
    <rPh sb="0" eb="2">
      <t>フクスウ</t>
    </rPh>
    <rPh sb="6" eb="8">
      <t>ショユウ</t>
    </rPh>
    <phoneticPr fontId="1"/>
  </si>
  <si>
    <t>DCの改修</t>
    <rPh sb="3" eb="5">
      <t>カイシュウ</t>
    </rPh>
    <phoneticPr fontId="1"/>
  </si>
  <si>
    <t>ZDCは冗長性確保のためISPと◎チーム接続</t>
    <rPh sb="4" eb="7">
      <t>ジョウチョウセイ</t>
    </rPh>
    <rPh sb="7" eb="9">
      <t>カクホ</t>
    </rPh>
    <rPh sb="20" eb="22">
      <t>セツゾク</t>
    </rPh>
    <phoneticPr fontId="1"/>
  </si>
  <si>
    <t>ISPとDCは異なるASで接続</t>
    <rPh sb="7" eb="8">
      <t>コト</t>
    </rPh>
    <rPh sb="13" eb="15">
      <t>セツゾク</t>
    </rPh>
    <phoneticPr fontId="1"/>
  </si>
  <si>
    <t>ルータとの上長接続</t>
    <rPh sb="5" eb="7">
      <t>ジョウチョウ</t>
    </rPh>
    <rPh sb="7" eb="9">
      <t>セツゾク</t>
    </rPh>
    <phoneticPr fontId="1"/>
  </si>
  <si>
    <t>BGP-4</t>
    <phoneticPr fontId="1"/>
  </si>
  <si>
    <t>バックボーンエリア</t>
    <phoneticPr fontId="1"/>
  </si>
  <si>
    <t>EGBP</t>
    <phoneticPr fontId="1"/>
  </si>
  <si>
    <t>キケク</t>
    <phoneticPr fontId="1"/>
  </si>
  <si>
    <t xml:space="preserve">sinnsetu </t>
    <phoneticPr fontId="1"/>
  </si>
  <si>
    <t>L2SW</t>
    <phoneticPr fontId="1"/>
  </si>
  <si>
    <t>ni</t>
    <phoneticPr fontId="1"/>
  </si>
  <si>
    <t xml:space="preserve">shuuyou </t>
    <phoneticPr fontId="1"/>
  </si>
  <si>
    <t>通信回線が断線しても、別経路による通信の迂回を行うことが出来るようになる。</t>
    <rPh sb="0" eb="2">
      <t>ツウシン</t>
    </rPh>
    <rPh sb="2" eb="4">
      <t>カイセン</t>
    </rPh>
    <rPh sb="5" eb="7">
      <t>ダンセン</t>
    </rPh>
    <rPh sb="11" eb="12">
      <t>ベツ</t>
    </rPh>
    <rPh sb="12" eb="14">
      <t>ケイロ</t>
    </rPh>
    <rPh sb="17" eb="19">
      <t>ツウシン</t>
    </rPh>
    <rPh sb="20" eb="22">
      <t>ウカイ</t>
    </rPh>
    <rPh sb="23" eb="24">
      <t>オコナ</t>
    </rPh>
    <rPh sb="28" eb="30">
      <t>デキ</t>
    </rPh>
    <phoneticPr fontId="1"/>
  </si>
  <si>
    <t>通信しても、送達が出来ず、いつまでたっても通信が出来ないような状態になる</t>
    <rPh sb="0" eb="2">
      <t>ツウシン</t>
    </rPh>
    <rPh sb="6" eb="8">
      <t>ソウタツ</t>
    </rPh>
    <rPh sb="9" eb="11">
      <t>デキ</t>
    </rPh>
    <rPh sb="21" eb="23">
      <t>ツウシン</t>
    </rPh>
    <rPh sb="24" eb="26">
      <t>デキ</t>
    </rPh>
    <rPh sb="31" eb="33">
      <t>ジョウタイ</t>
    </rPh>
    <phoneticPr fontId="1"/>
  </si>
  <si>
    <t>通信回数がそのまま帯域の通信量と比例するわけではないため</t>
    <rPh sb="0" eb="4">
      <t>ツウシンカイスウ</t>
    </rPh>
    <rPh sb="9" eb="11">
      <t>タイイキ</t>
    </rPh>
    <rPh sb="12" eb="15">
      <t>ツウシンリョウ</t>
    </rPh>
    <rPh sb="16" eb="18">
      <t>ヒレイ</t>
    </rPh>
    <phoneticPr fontId="1"/>
  </si>
  <si>
    <t>リンクダウンを検出してLAGメンバを故障回線を除外できる</t>
    <rPh sb="7" eb="9">
      <t>ケンシュツ</t>
    </rPh>
    <rPh sb="18" eb="22">
      <t>コショウカイセン</t>
    </rPh>
    <rPh sb="23" eb="25">
      <t>ジョガイ</t>
    </rPh>
    <phoneticPr fontId="1"/>
  </si>
  <si>
    <t>L3SWやコアルータにはリンクダウンを検知する手段がない</t>
    <rPh sb="19" eb="21">
      <t>ケンチ</t>
    </rPh>
    <rPh sb="23" eb="25">
      <t>シュダン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</si>
</sst>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B60B-B587-4C99-AAAB-F8F14F6A4C0D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A1:C1048576"/>
    </sheetView>
  </sheetViews>
  <sheetFormatPr defaultRowHeight="18.75"/>
  <cols>
    <col min="1" max="3" width="4.625" style="2" customWidth="1"/>
    <col min="4" max="4" width="96.875" style="1" customWidth="1"/>
    <col min="5" max="5" width="9.7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698E-195F-4958-9601-7E93F0A796C4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9">
      <c r="A1" s="4" t="s">
        <v>0</v>
      </c>
      <c r="B1" s="4"/>
      <c r="C1" s="4"/>
      <c r="D1" s="1" t="s">
        <v>17</v>
      </c>
    </row>
    <row r="2" spans="1:9">
      <c r="A2" s="4" t="s">
        <v>2</v>
      </c>
      <c r="B2" s="4"/>
      <c r="C2" s="4"/>
      <c r="D2" s="3" t="s">
        <v>18</v>
      </c>
      <c r="F2">
        <f>SUM(F4:F1000)</f>
        <v>16</v>
      </c>
      <c r="G2">
        <f>SUM(G4:G1000)</f>
        <v>50</v>
      </c>
    </row>
    <row r="3" spans="1:9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9">
      <c r="A4" s="2" t="s">
        <v>18</v>
      </c>
      <c r="C4" s="2" t="s">
        <v>22</v>
      </c>
      <c r="D4" s="1" t="s">
        <v>31</v>
      </c>
      <c r="E4">
        <f>IF(D4&lt;&gt;"",LEN(D4),"")</f>
        <v>4</v>
      </c>
      <c r="F4">
        <v>2</v>
      </c>
      <c r="G4">
        <v>2</v>
      </c>
    </row>
    <row r="5" spans="1:9">
      <c r="C5" s="2" t="s">
        <v>23</v>
      </c>
      <c r="D5" s="1" t="s">
        <v>33</v>
      </c>
      <c r="E5">
        <f t="shared" ref="E5:E68" si="0">IF(D5&lt;&gt;"",LEN(D5),"")</f>
        <v>5</v>
      </c>
      <c r="F5">
        <v>2</v>
      </c>
      <c r="G5">
        <v>2</v>
      </c>
      <c r="I5" t="s">
        <v>19</v>
      </c>
    </row>
    <row r="6" spans="1:9">
      <c r="C6" s="2" t="s">
        <v>24</v>
      </c>
      <c r="D6" s="1" t="s">
        <v>38</v>
      </c>
      <c r="E6">
        <f t="shared" si="0"/>
        <v>2</v>
      </c>
      <c r="F6">
        <v>2</v>
      </c>
      <c r="G6">
        <v>2</v>
      </c>
      <c r="I6" t="s">
        <v>20</v>
      </c>
    </row>
    <row r="7" spans="1:9">
      <c r="C7" s="2" t="s">
        <v>25</v>
      </c>
      <c r="D7" s="1" t="s">
        <v>43</v>
      </c>
      <c r="E7">
        <f t="shared" si="0"/>
        <v>3</v>
      </c>
      <c r="F7">
        <v>0</v>
      </c>
      <c r="G7">
        <v>2</v>
      </c>
      <c r="I7" t="s">
        <v>21</v>
      </c>
    </row>
    <row r="8" spans="1:9">
      <c r="C8" s="2" t="s">
        <v>26</v>
      </c>
      <c r="D8" s="1" t="s">
        <v>39</v>
      </c>
      <c r="E8">
        <f t="shared" si="0"/>
        <v>4</v>
      </c>
      <c r="F8">
        <v>0</v>
      </c>
      <c r="G8">
        <v>2</v>
      </c>
      <c r="I8" t="s">
        <v>32</v>
      </c>
    </row>
    <row r="9" spans="1:9">
      <c r="C9" s="2" t="s">
        <v>27</v>
      </c>
      <c r="D9" s="1" t="s">
        <v>44</v>
      </c>
      <c r="E9">
        <f t="shared" si="0"/>
        <v>10</v>
      </c>
      <c r="F9">
        <v>0</v>
      </c>
      <c r="G9">
        <v>2</v>
      </c>
    </row>
    <row r="10" spans="1:9">
      <c r="A10" s="2" t="s">
        <v>28</v>
      </c>
      <c r="B10" s="2" t="s">
        <v>18</v>
      </c>
      <c r="D10" s="1" t="s">
        <v>34</v>
      </c>
      <c r="E10">
        <f t="shared" si="0"/>
        <v>26</v>
      </c>
      <c r="F10">
        <v>0</v>
      </c>
      <c r="G10">
        <v>4</v>
      </c>
    </row>
    <row r="11" spans="1:9">
      <c r="B11" s="2" t="s">
        <v>28</v>
      </c>
      <c r="D11" s="1" t="s">
        <v>35</v>
      </c>
      <c r="E11">
        <f t="shared" si="0"/>
        <v>22</v>
      </c>
      <c r="F11">
        <v>3</v>
      </c>
      <c r="G11">
        <v>6</v>
      </c>
    </row>
    <row r="12" spans="1:9">
      <c r="A12" s="2" t="s">
        <v>29</v>
      </c>
      <c r="B12" s="2" t="s">
        <v>18</v>
      </c>
      <c r="D12" s="1" t="s">
        <v>36</v>
      </c>
      <c r="E12">
        <f t="shared" si="0"/>
        <v>33</v>
      </c>
      <c r="F12">
        <v>4</v>
      </c>
      <c r="G12">
        <v>4</v>
      </c>
    </row>
    <row r="13" spans="1:9">
      <c r="B13" s="2" t="s">
        <v>28</v>
      </c>
      <c r="D13" s="1" t="s">
        <v>37</v>
      </c>
      <c r="E13">
        <f t="shared" si="0"/>
        <v>17</v>
      </c>
      <c r="F13">
        <v>0</v>
      </c>
      <c r="G13">
        <v>6</v>
      </c>
    </row>
    <row r="14" spans="1:9">
      <c r="B14" s="2" t="s">
        <v>29</v>
      </c>
      <c r="D14" s="1" t="s">
        <v>40</v>
      </c>
      <c r="E14">
        <f t="shared" si="0"/>
        <v>3</v>
      </c>
      <c r="F14">
        <v>3</v>
      </c>
      <c r="G14">
        <v>6</v>
      </c>
    </row>
    <row r="15" spans="1:9">
      <c r="B15" s="2" t="s">
        <v>30</v>
      </c>
      <c r="D15" s="1" t="s">
        <v>41</v>
      </c>
      <c r="E15">
        <f t="shared" si="0"/>
        <v>31</v>
      </c>
      <c r="F15">
        <v>0</v>
      </c>
      <c r="G15">
        <v>6</v>
      </c>
    </row>
    <row r="16" spans="1:9">
      <c r="A16" s="2" t="s">
        <v>30</v>
      </c>
      <c r="D16" s="1" t="s">
        <v>42</v>
      </c>
      <c r="E16">
        <f t="shared" si="0"/>
        <v>26</v>
      </c>
      <c r="F16">
        <v>0</v>
      </c>
      <c r="G16">
        <v>6</v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" sqref="D1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28</v>
      </c>
      <c r="F2">
        <f>SUM(F4:F1000)</f>
        <v>21</v>
      </c>
      <c r="G2">
        <f>SUM(G4:G1000)</f>
        <v>50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18</v>
      </c>
      <c r="C4" s="2" t="s">
        <v>22</v>
      </c>
      <c r="D4" s="1" t="s">
        <v>53</v>
      </c>
      <c r="E4">
        <f>IF(D4&lt;&gt;"",LEN(D4),"")</f>
        <v>3</v>
      </c>
      <c r="F4">
        <v>0</v>
      </c>
      <c r="G4">
        <v>2</v>
      </c>
      <c r="H4" t="s">
        <v>45</v>
      </c>
    </row>
    <row r="5" spans="1:8">
      <c r="C5" s="2" t="s">
        <v>23</v>
      </c>
      <c r="D5" s="1" t="s">
        <v>54</v>
      </c>
      <c r="E5">
        <f t="shared" ref="E5:E68" si="0">IF(D5&lt;&gt;"",LEN(D5),"")</f>
        <v>5</v>
      </c>
      <c r="F5">
        <v>0</v>
      </c>
      <c r="G5">
        <v>2</v>
      </c>
      <c r="H5" t="s">
        <v>46</v>
      </c>
    </row>
    <row r="6" spans="1:8">
      <c r="C6" s="2" t="s">
        <v>24</v>
      </c>
      <c r="D6" s="1" t="s">
        <v>55</v>
      </c>
      <c r="E6">
        <f t="shared" si="0"/>
        <v>6</v>
      </c>
      <c r="F6">
        <v>2</v>
      </c>
      <c r="G6">
        <v>2</v>
      </c>
      <c r="H6" t="s">
        <v>47</v>
      </c>
    </row>
    <row r="7" spans="1:8">
      <c r="C7" s="2" t="s">
        <v>25</v>
      </c>
      <c r="D7" s="1" t="s">
        <v>56</v>
      </c>
      <c r="E7">
        <f t="shared" si="0"/>
        <v>6</v>
      </c>
      <c r="F7">
        <v>2</v>
      </c>
      <c r="G7">
        <v>2</v>
      </c>
      <c r="H7" t="s">
        <v>48</v>
      </c>
    </row>
    <row r="8" spans="1:8">
      <c r="C8" s="2" t="s">
        <v>26</v>
      </c>
      <c r="D8" s="1" t="s">
        <v>57</v>
      </c>
      <c r="E8">
        <f t="shared" si="0"/>
        <v>12</v>
      </c>
      <c r="F8">
        <v>2</v>
      </c>
      <c r="G8">
        <v>2</v>
      </c>
      <c r="H8" t="s">
        <v>49</v>
      </c>
    </row>
    <row r="9" spans="1:8">
      <c r="A9" s="2" t="s">
        <v>18</v>
      </c>
      <c r="B9" s="2" t="s">
        <v>18</v>
      </c>
      <c r="D9" s="1" t="s">
        <v>58</v>
      </c>
      <c r="E9">
        <f t="shared" si="0"/>
        <v>4</v>
      </c>
      <c r="F9">
        <v>5</v>
      </c>
      <c r="G9">
        <v>5</v>
      </c>
      <c r="H9" t="s">
        <v>50</v>
      </c>
    </row>
    <row r="10" spans="1:8">
      <c r="B10" s="2" t="s">
        <v>28</v>
      </c>
      <c r="D10" s="1" t="s">
        <v>59</v>
      </c>
      <c r="E10">
        <f t="shared" si="0"/>
        <v>17</v>
      </c>
      <c r="F10">
        <v>5</v>
      </c>
      <c r="G10">
        <v>5</v>
      </c>
      <c r="H10" t="s">
        <v>51</v>
      </c>
    </row>
    <row r="11" spans="1:8">
      <c r="A11" s="2" t="s">
        <v>29</v>
      </c>
      <c r="B11" s="2" t="s">
        <v>18</v>
      </c>
      <c r="D11" s="1" t="s">
        <v>60</v>
      </c>
      <c r="E11">
        <f t="shared" si="0"/>
        <v>19</v>
      </c>
      <c r="F11">
        <v>0</v>
      </c>
      <c r="G11">
        <v>4</v>
      </c>
      <c r="H11" t="s">
        <v>52</v>
      </c>
    </row>
    <row r="12" spans="1:8">
      <c r="B12" s="2" t="s">
        <v>28</v>
      </c>
      <c r="D12" s="1" t="s">
        <v>61</v>
      </c>
      <c r="E12">
        <f t="shared" si="0"/>
        <v>10</v>
      </c>
      <c r="F12">
        <v>0</v>
      </c>
      <c r="G12">
        <v>5</v>
      </c>
    </row>
    <row r="13" spans="1:8">
      <c r="B13" s="2" t="s">
        <v>29</v>
      </c>
      <c r="D13" s="1" t="s">
        <v>62</v>
      </c>
      <c r="E13">
        <f t="shared" si="0"/>
        <v>27</v>
      </c>
      <c r="F13">
        <v>0</v>
      </c>
      <c r="G13">
        <v>5</v>
      </c>
    </row>
    <row r="14" spans="1:8">
      <c r="A14" s="2" t="s">
        <v>30</v>
      </c>
      <c r="B14" s="2" t="s">
        <v>18</v>
      </c>
      <c r="D14" s="1" t="s">
        <v>63</v>
      </c>
      <c r="E14">
        <f t="shared" si="0"/>
        <v>23</v>
      </c>
      <c r="F14">
        <v>5</v>
      </c>
      <c r="G14">
        <v>5</v>
      </c>
    </row>
    <row r="15" spans="1:8">
      <c r="B15" s="2" t="s">
        <v>28</v>
      </c>
      <c r="D15" s="1" t="s">
        <v>64</v>
      </c>
      <c r="E15">
        <f t="shared" si="0"/>
        <v>18</v>
      </c>
      <c r="F15">
        <v>0</v>
      </c>
      <c r="G15">
        <v>5</v>
      </c>
    </row>
    <row r="16" spans="1:8">
      <c r="B16" s="2" t="s">
        <v>29</v>
      </c>
      <c r="C16" s="2" t="s">
        <v>18</v>
      </c>
      <c r="D16" s="1" t="s">
        <v>65</v>
      </c>
      <c r="E16">
        <f t="shared" si="0"/>
        <v>8</v>
      </c>
      <c r="F16">
        <v>0</v>
      </c>
      <c r="G16">
        <v>3</v>
      </c>
    </row>
    <row r="17" spans="3:7">
      <c r="C17" s="2" t="s">
        <v>28</v>
      </c>
      <c r="D17" s="1" t="s">
        <v>66</v>
      </c>
      <c r="E17">
        <f t="shared" si="0"/>
        <v>14</v>
      </c>
      <c r="F17">
        <v>0</v>
      </c>
      <c r="G17">
        <v>3</v>
      </c>
    </row>
    <row r="18" spans="3:7">
      <c r="E18" t="str">
        <f t="shared" si="0"/>
        <v/>
      </c>
    </row>
    <row r="19" spans="3:7">
      <c r="E19" t="str">
        <f t="shared" si="0"/>
        <v/>
      </c>
    </row>
    <row r="20" spans="3:7">
      <c r="E20" t="str">
        <f t="shared" si="0"/>
        <v/>
      </c>
    </row>
    <row r="21" spans="3:7">
      <c r="E21" t="str">
        <f t="shared" si="0"/>
        <v/>
      </c>
    </row>
    <row r="22" spans="3:7">
      <c r="E22" t="str">
        <f t="shared" si="0"/>
        <v/>
      </c>
    </row>
    <row r="23" spans="3:7">
      <c r="E23" t="str">
        <f t="shared" si="0"/>
        <v/>
      </c>
    </row>
    <row r="24" spans="3:7">
      <c r="E24" t="str">
        <f t="shared" si="0"/>
        <v/>
      </c>
    </row>
    <row r="25" spans="3:7">
      <c r="E25" t="str">
        <f t="shared" si="0"/>
        <v/>
      </c>
    </row>
    <row r="26" spans="3:7">
      <c r="E26" t="str">
        <f t="shared" si="0"/>
        <v/>
      </c>
    </row>
    <row r="27" spans="3:7">
      <c r="E27" t="str">
        <f t="shared" si="0"/>
        <v/>
      </c>
    </row>
    <row r="28" spans="3:7">
      <c r="E28" t="str">
        <f t="shared" si="0"/>
        <v/>
      </c>
    </row>
    <row r="29" spans="3:7">
      <c r="E29" t="str">
        <f t="shared" si="0"/>
        <v/>
      </c>
    </row>
    <row r="30" spans="3:7">
      <c r="E30" t="str">
        <f t="shared" si="0"/>
        <v/>
      </c>
    </row>
    <row r="31" spans="3:7">
      <c r="E31" t="str">
        <f t="shared" si="0"/>
        <v/>
      </c>
    </row>
    <row r="32" spans="3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138E-AADC-4F77-808D-7835F798F0C2}">
  <sheetPr codeName="Sheet6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defaultRowHeight="18.75"/>
  <cols>
    <col min="1" max="3" width="4.5" style="2" customWidth="1"/>
    <col min="4" max="4" width="80.25" style="1" customWidth="1"/>
    <col min="5" max="7" width="7.37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29</v>
      </c>
      <c r="F2">
        <f>SUM(F4:F1000)</f>
        <v>18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C4" s="2" t="s">
        <v>67</v>
      </c>
      <c r="D4" s="1" t="s">
        <v>79</v>
      </c>
      <c r="E4">
        <f>IF(D4&lt;&gt;"",LEN(D4),"")</f>
        <v>5</v>
      </c>
      <c r="F4">
        <v>4</v>
      </c>
      <c r="G4">
        <v>4</v>
      </c>
      <c r="H4" t="s">
        <v>72</v>
      </c>
      <c r="J4" t="s">
        <v>83</v>
      </c>
    </row>
    <row r="5" spans="1:10">
      <c r="C5" s="2" t="s">
        <v>68</v>
      </c>
      <c r="D5" s="1" t="s">
        <v>80</v>
      </c>
      <c r="E5">
        <f t="shared" ref="E5:E68" si="0">IF(D5&lt;&gt;"",LEN(D5),"")</f>
        <v>9</v>
      </c>
      <c r="F5">
        <v>4</v>
      </c>
      <c r="G5">
        <v>4</v>
      </c>
      <c r="H5" t="s">
        <v>73</v>
      </c>
      <c r="J5" t="s">
        <v>84</v>
      </c>
    </row>
    <row r="6" spans="1:10">
      <c r="C6" s="2" t="s">
        <v>69</v>
      </c>
      <c r="D6" s="1" t="s">
        <v>81</v>
      </c>
      <c r="E6">
        <f t="shared" si="0"/>
        <v>4</v>
      </c>
      <c r="F6">
        <v>0</v>
      </c>
      <c r="G6">
        <v>4</v>
      </c>
      <c r="H6" t="s">
        <v>74</v>
      </c>
      <c r="J6" t="s">
        <v>85</v>
      </c>
    </row>
    <row r="7" spans="1:10">
      <c r="B7" s="2" t="s">
        <v>28</v>
      </c>
      <c r="D7" s="1" t="s">
        <v>82</v>
      </c>
      <c r="E7">
        <f t="shared" si="0"/>
        <v>3</v>
      </c>
      <c r="F7">
        <v>5</v>
      </c>
      <c r="G7">
        <v>5</v>
      </c>
      <c r="H7" t="s">
        <v>75</v>
      </c>
      <c r="J7" t="s">
        <v>86</v>
      </c>
    </row>
    <row r="8" spans="1:10">
      <c r="B8" s="2" t="s">
        <v>29</v>
      </c>
      <c r="D8" s="1" t="s">
        <v>82</v>
      </c>
      <c r="E8">
        <f t="shared" si="0"/>
        <v>3</v>
      </c>
      <c r="F8">
        <v>5</v>
      </c>
      <c r="G8">
        <v>5</v>
      </c>
      <c r="H8" t="s">
        <v>76</v>
      </c>
    </row>
    <row r="9" spans="1:10">
      <c r="B9" s="2" t="s">
        <v>30</v>
      </c>
      <c r="D9" s="1" t="s">
        <v>87</v>
      </c>
      <c r="E9">
        <f t="shared" si="0"/>
        <v>37</v>
      </c>
      <c r="F9">
        <v>0</v>
      </c>
      <c r="G9">
        <v>8</v>
      </c>
      <c r="H9" t="s">
        <v>77</v>
      </c>
    </row>
    <row r="10" spans="1:10">
      <c r="B10" s="2" t="s">
        <v>70</v>
      </c>
      <c r="D10" s="1" t="s">
        <v>88</v>
      </c>
      <c r="E10">
        <f t="shared" si="0"/>
        <v>36</v>
      </c>
      <c r="F10">
        <v>0</v>
      </c>
      <c r="G10">
        <v>10</v>
      </c>
      <c r="H10" t="s">
        <v>78</v>
      </c>
    </row>
    <row r="11" spans="1:10">
      <c r="B11" s="2" t="s">
        <v>71</v>
      </c>
      <c r="D11" s="1" t="s">
        <v>89</v>
      </c>
      <c r="E11">
        <f t="shared" si="0"/>
        <v>28</v>
      </c>
      <c r="F11">
        <v>0</v>
      </c>
      <c r="G11">
        <v>10</v>
      </c>
    </row>
    <row r="12" spans="1:10">
      <c r="D12" s="1" t="s">
        <v>90</v>
      </c>
      <c r="E12">
        <f t="shared" si="0"/>
        <v>28</v>
      </c>
    </row>
    <row r="13" spans="1:10">
      <c r="D13" s="1" t="s">
        <v>91</v>
      </c>
      <c r="E13">
        <f t="shared" si="0"/>
        <v>28</v>
      </c>
    </row>
    <row r="14" spans="1:10">
      <c r="E14" t="str">
        <f t="shared" si="0"/>
        <v/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2026-01-25T03:46:33Z</dcterms:modified>
</cp:coreProperties>
</file>