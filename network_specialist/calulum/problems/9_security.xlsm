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D99CC7D7-CE3C-4E83-808E-8F35A9FFB7CC}" xr6:coauthVersionLast="47" xr6:coauthVersionMax="47" xr10:uidLastSave="{00000000-0000-0000-0000-000000000000}"/>
  <bookViews>
    <workbookView xWindow="8565" yWindow="0" windowWidth="20340" windowHeight="15585" activeTab="6" xr2:uid="{00000000-000D-0000-FFFF-FFFF00000000}"/>
  </bookViews>
  <sheets>
    <sheet name="レビュー" sheetId="2" r:id="rId1"/>
    <sheet name="4" sheetId="4" r:id="rId2"/>
    <sheet name="5" sheetId="5" r:id="rId3"/>
    <sheet name="1" sheetId="6" r:id="rId4"/>
    <sheet name="2" sheetId="7" r:id="rId5"/>
    <sheet name="3" sheetId="8" r:id="rId6"/>
    <sheet name="3_2" sheetId="11" r:id="rId7"/>
    <sheet name="4_2" sheetId="9" r:id="rId8"/>
    <sheet name="5_2" sheetId="10" r:id="rId9"/>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7" i="11" l="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22" i="10"/>
  <c r="E26" i="10"/>
  <c r="E27" i="10"/>
  <c r="E28" i="10"/>
  <c r="E29" i="10"/>
  <c r="E30" i="10"/>
  <c r="E31" i="10"/>
  <c r="E32"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21" i="10"/>
  <c r="E20" i="10"/>
  <c r="E19" i="10"/>
  <c r="E18" i="10"/>
  <c r="E17" i="10"/>
  <c r="E16" i="10"/>
  <c r="E15" i="10"/>
  <c r="E14" i="10"/>
  <c r="E13" i="10"/>
  <c r="E12" i="10"/>
  <c r="E11" i="10"/>
  <c r="E10" i="10"/>
  <c r="E9" i="10"/>
  <c r="E8" i="10"/>
  <c r="E7" i="10"/>
  <c r="E6" i="10"/>
  <c r="E5" i="10"/>
  <c r="E4" i="10"/>
  <c r="G2" i="10"/>
  <c r="F2" i="10"/>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G2" i="9"/>
  <c r="F2" i="9"/>
  <c r="E20" i="8"/>
  <c r="E21"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19" i="8"/>
  <c r="E18" i="8"/>
  <c r="E17" i="8"/>
  <c r="E16" i="8"/>
  <c r="E15" i="8"/>
  <c r="E14" i="8"/>
  <c r="E13" i="8"/>
  <c r="E12" i="8"/>
  <c r="E11" i="8"/>
  <c r="E10" i="8"/>
  <c r="E9" i="8"/>
  <c r="E8" i="8"/>
  <c r="E7" i="8"/>
  <c r="E6" i="8"/>
  <c r="E5" i="8"/>
  <c r="E4" i="8"/>
  <c r="G2" i="8"/>
  <c r="F2" i="8"/>
  <c r="E23" i="7"/>
  <c r="E22" i="7"/>
  <c r="E21" i="7"/>
  <c r="E20" i="7"/>
  <c r="E19" i="7"/>
  <c r="E18" i="7"/>
  <c r="E17" i="7"/>
  <c r="E16" i="7"/>
  <c r="E15" i="7"/>
  <c r="E14" i="7"/>
  <c r="E13" i="7"/>
  <c r="E12" i="7"/>
  <c r="E11" i="7"/>
  <c r="E10" i="7"/>
  <c r="E9" i="7"/>
  <c r="E8" i="7"/>
  <c r="E7" i="7"/>
  <c r="E6" i="7"/>
  <c r="E5" i="7"/>
  <c r="E4"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G2" i="7"/>
  <c r="F2" i="7"/>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G2" i="6"/>
  <c r="F2" i="6"/>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G2" i="5"/>
  <c r="F2" i="5"/>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G2" i="4"/>
  <c r="F2" i="4"/>
</calcChain>
</file>

<file path=xl/sharedStrings.xml><?xml version="1.0" encoding="utf-8"?>
<sst xmlns="http://schemas.openxmlformats.org/spreadsheetml/2006/main" count="580" uniqueCount="297">
  <si>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</si>
  <si>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</si>
  <si>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</si>
  <si>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</si>
  <si>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</si>
  <si>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</si>
  <si>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</si>
  <si>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</si>
  <si>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</si>
  <si>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</si>
  <si>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</si>
  <si>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</si>
  <si>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</si>
  <si>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10-1</t>
  </si>
  <si>
    <t>10-2</t>
  </si>
  <si>
    <t>10-1-rev</t>
  </si>
  <si>
    <t>10-2-rev</t>
  </si>
  <si>
    <t>重点対策</t>
    <rPh sb="0" eb="4">
      <t>ジュウテンタイサク</t>
    </rPh>
    <phoneticPr fontId="1"/>
  </si>
  <si>
    <t>問題4</t>
    <rPh sb="0" eb="2">
      <t>モンダイ</t>
    </rPh>
    <phoneticPr fontId="1"/>
  </si>
  <si>
    <t>1</t>
    <phoneticPr fontId="1"/>
  </si>
  <si>
    <t>ア</t>
    <phoneticPr fontId="1"/>
  </si>
  <si>
    <t>い</t>
    <phoneticPr fontId="1"/>
  </si>
  <si>
    <t>イ</t>
    <phoneticPr fontId="1"/>
  </si>
  <si>
    <t>ウ</t>
    <phoneticPr fontId="1"/>
  </si>
  <si>
    <t>エ</t>
    <phoneticPr fontId="1"/>
  </si>
  <si>
    <t>オ</t>
    <phoneticPr fontId="1"/>
  </si>
  <si>
    <t>2</t>
    <phoneticPr fontId="1"/>
  </si>
  <si>
    <t>3</t>
    <phoneticPr fontId="1"/>
  </si>
  <si>
    <t>あ</t>
    <phoneticPr fontId="1"/>
  </si>
  <si>
    <t>1元</t>
    <rPh sb="1" eb="2">
      <t>モト</t>
    </rPh>
    <phoneticPr fontId="1"/>
  </si>
  <si>
    <t>1先</t>
    <rPh sb="1" eb="2">
      <t>サキ</t>
    </rPh>
    <phoneticPr fontId="1"/>
  </si>
  <si>
    <t>2元</t>
    <rPh sb="1" eb="2">
      <t>モト</t>
    </rPh>
    <phoneticPr fontId="1"/>
  </si>
  <si>
    <t>2先</t>
    <rPh sb="1" eb="2">
      <t>サキ</t>
    </rPh>
    <phoneticPr fontId="1"/>
  </si>
  <si>
    <t>4</t>
    <phoneticPr fontId="1"/>
  </si>
  <si>
    <t>Y社は医療機器はjン倍会社</t>
    <rPh sb="1" eb="2">
      <t>シャ</t>
    </rPh>
    <rPh sb="3" eb="7">
      <t>イリョウキキ</t>
    </rPh>
    <rPh sb="10" eb="11">
      <t>バイ</t>
    </rPh>
    <rPh sb="11" eb="13">
      <t>カイシャ</t>
    </rPh>
    <phoneticPr fontId="1"/>
  </si>
  <si>
    <t>広域イーサネット</t>
    <rPh sb="0" eb="2">
      <t>コウイキ</t>
    </rPh>
    <phoneticPr fontId="1"/>
  </si>
  <si>
    <t>WAN回線の可用性向上を目的</t>
    <rPh sb="3" eb="5">
      <t>カイセン</t>
    </rPh>
    <rPh sb="6" eb="11">
      <t>カヨウセイコウジョウ</t>
    </rPh>
    <rPh sb="12" eb="14">
      <t>モクテキ</t>
    </rPh>
    <phoneticPr fontId="1"/>
  </si>
  <si>
    <t>再構築</t>
    <rPh sb="0" eb="3">
      <t>サイコウチク</t>
    </rPh>
    <phoneticPr fontId="1"/>
  </si>
  <si>
    <t>ルータ間で合意されるものがSA</t>
    <rPh sb="3" eb="4">
      <t>アイダ</t>
    </rPh>
    <rPh sb="5" eb="7">
      <t>ゴウイ</t>
    </rPh>
    <phoneticPr fontId="1"/>
  </si>
  <si>
    <t>セレクタ</t>
    <phoneticPr fontId="1"/>
  </si>
  <si>
    <t>アグレッシブ</t>
    <phoneticPr fontId="1"/>
  </si>
  <si>
    <t>トンネリングは仮想の専用線を構築すること</t>
    <rPh sb="7" eb="9">
      <t>カソウ</t>
    </rPh>
    <rPh sb="10" eb="13">
      <t>センヨウセン</t>
    </rPh>
    <rPh sb="14" eb="16">
      <t>コウチク</t>
    </rPh>
    <phoneticPr fontId="1"/>
  </si>
  <si>
    <t>トンネリングはトラフィックを別プロトコルでカプセル化する</t>
    <rPh sb="14" eb="15">
      <t>ベツ</t>
    </rPh>
    <rPh sb="25" eb="26">
      <t>カ</t>
    </rPh>
    <phoneticPr fontId="1"/>
  </si>
  <si>
    <t>セキュリティプロトコル</t>
    <phoneticPr fontId="1"/>
  </si>
  <si>
    <t>暗号化方式</t>
    <rPh sb="0" eb="3">
      <t>アンゴウカ</t>
    </rPh>
    <rPh sb="3" eb="5">
      <t>ホウシキ</t>
    </rPh>
    <phoneticPr fontId="1"/>
  </si>
  <si>
    <t>フェーズ2はアグレッシブ</t>
    <phoneticPr fontId="1"/>
  </si>
  <si>
    <t>リキー</t>
    <phoneticPr fontId="1"/>
  </si>
  <si>
    <t>Ipsec通信で送受信されるメッセージが通信中に改ざんされていないこと</t>
    <rPh sb="5" eb="7">
      <t>ツウシン</t>
    </rPh>
    <rPh sb="8" eb="11">
      <t>ソウジュシン</t>
    </rPh>
    <rPh sb="20" eb="22">
      <t>ツウシン</t>
    </rPh>
    <rPh sb="22" eb="23">
      <t>ナカ</t>
    </rPh>
    <rPh sb="24" eb="25">
      <t>カイ</t>
    </rPh>
    <phoneticPr fontId="1"/>
  </si>
  <si>
    <t>IpsecでVPNを構築したときにOSPFを稼働することが出来ない</t>
    <rPh sb="10" eb="12">
      <t>コウチク</t>
    </rPh>
    <rPh sb="22" eb="24">
      <t>カドウ</t>
    </rPh>
    <rPh sb="29" eb="31">
      <t>デキ</t>
    </rPh>
    <phoneticPr fontId="1"/>
  </si>
  <si>
    <t>OSPFのリンクステート情報交換はIPマルチキャスト通信で行われるため</t>
    <rPh sb="12" eb="14">
      <t>ジョウホウ</t>
    </rPh>
    <rPh sb="14" eb="16">
      <t>コウカン</t>
    </rPh>
    <rPh sb="26" eb="28">
      <t>ツウシン</t>
    </rPh>
    <rPh sb="29" eb="30">
      <t>オコナ</t>
    </rPh>
    <phoneticPr fontId="1"/>
  </si>
  <si>
    <t>InternetVONを構築したとき、OSPFを稼働することがでいない</t>
    <rPh sb="12" eb="14">
      <t>コウチク</t>
    </rPh>
    <rPh sb="24" eb="26">
      <t>カドウ</t>
    </rPh>
    <phoneticPr fontId="1"/>
  </si>
  <si>
    <t>L2TPによりデータリンクのプロトコルをトンネリングするプロトコル</t>
    <phoneticPr fontId="1"/>
  </si>
  <si>
    <t>経路</t>
    <rPh sb="0" eb="2">
      <t>ケイロ</t>
    </rPh>
    <phoneticPr fontId="1"/>
  </si>
  <si>
    <t>断片化</t>
    <rPh sb="0" eb="3">
      <t>ダンペンカ</t>
    </rPh>
    <phoneticPr fontId="1"/>
  </si>
  <si>
    <t>図4はGRE寺領時の通信例</t>
    <rPh sb="0" eb="1">
      <t>ズ</t>
    </rPh>
    <rPh sb="6" eb="9">
      <t>ジリョウジ</t>
    </rPh>
    <rPh sb="10" eb="13">
      <t>ツウシンレイ</t>
    </rPh>
    <phoneticPr fontId="1"/>
  </si>
  <si>
    <t>α.0.0.1</t>
    <phoneticPr fontId="1"/>
  </si>
  <si>
    <t>β.0.0.1</t>
    <phoneticPr fontId="1"/>
  </si>
  <si>
    <t>192.168.0.100</t>
    <phoneticPr fontId="1"/>
  </si>
  <si>
    <t>192.168.10.1</t>
    <phoneticPr fontId="1"/>
  </si>
  <si>
    <t>図6の通信でIPアドレスが格納されるヘッダ</t>
    <rPh sb="0" eb="1">
      <t>ズ</t>
    </rPh>
    <rPh sb="3" eb="5">
      <t>ツウシン</t>
    </rPh>
    <rPh sb="13" eb="15">
      <t>カクノウ</t>
    </rPh>
    <phoneticPr fontId="1"/>
  </si>
  <si>
    <t>IPヘッダ2</t>
    <phoneticPr fontId="1"/>
  </si>
  <si>
    <t>IPヘッダ1</t>
    <phoneticPr fontId="1"/>
  </si>
  <si>
    <t>カプセル化するオーバヘッドがL2TPより小さいので、１つのパケットで転送できるデータ量が多い</t>
    <rPh sb="4" eb="5">
      <t>カ</t>
    </rPh>
    <rPh sb="20" eb="21">
      <t>チイ</t>
    </rPh>
    <rPh sb="34" eb="36">
      <t>テンソウ</t>
    </rPh>
    <rPh sb="42" eb="43">
      <t>リョウ</t>
    </rPh>
    <rPh sb="44" eb="45">
      <t>オオ</t>
    </rPh>
    <phoneticPr fontId="1"/>
  </si>
  <si>
    <t>GREによるトンネリングが行われるため</t>
    <rPh sb="13" eb="14">
      <t>オコナ</t>
    </rPh>
    <phoneticPr fontId="1"/>
  </si>
  <si>
    <t>ESP認証データ長は使用する認証アルゴリズムによって変化するため</t>
    <rPh sb="3" eb="5">
      <t>ニンショウ</t>
    </rPh>
    <rPh sb="8" eb="9">
      <t>ナガ</t>
    </rPh>
    <rPh sb="10" eb="12">
      <t>シヨウ</t>
    </rPh>
    <rPh sb="14" eb="16">
      <t>ニンショウ</t>
    </rPh>
    <rPh sb="26" eb="28">
      <t>ヘンカ</t>
    </rPh>
    <phoneticPr fontId="1"/>
  </si>
  <si>
    <t>GREヘッダ、ESPトレーダ</t>
    <phoneticPr fontId="1"/>
  </si>
  <si>
    <t>問題5</t>
    <rPh sb="0" eb="2">
      <t>モンダイ</t>
    </rPh>
    <phoneticPr fontId="1"/>
  </si>
  <si>
    <t>a</t>
    <phoneticPr fontId="1"/>
  </si>
  <si>
    <t>b</t>
    <phoneticPr fontId="1"/>
  </si>
  <si>
    <t>c</t>
    <phoneticPr fontId="1"/>
  </si>
  <si>
    <t>d</t>
    <phoneticPr fontId="1"/>
  </si>
  <si>
    <t>e</t>
    <phoneticPr fontId="1"/>
  </si>
  <si>
    <t>名称</t>
    <rPh sb="0" eb="2">
      <t>メイショウ</t>
    </rPh>
    <phoneticPr fontId="1"/>
  </si>
  <si>
    <t>5</t>
    <phoneticPr fontId="1"/>
  </si>
  <si>
    <t>カ</t>
    <phoneticPr fontId="1"/>
  </si>
  <si>
    <t>6</t>
    <phoneticPr fontId="1"/>
  </si>
  <si>
    <t>IT製品</t>
    <rPh sb="2" eb="4">
      <t>セイヒン</t>
    </rPh>
    <phoneticPr fontId="1"/>
  </si>
  <si>
    <t>国内外のベンダ</t>
    <rPh sb="0" eb="3">
      <t>コクナイガイ</t>
    </rPh>
    <phoneticPr fontId="1"/>
  </si>
  <si>
    <t>W社ではシステムを営業システム</t>
    <rPh sb="1" eb="2">
      <t>シャ</t>
    </rPh>
    <rPh sb="9" eb="11">
      <t>エイギョウ</t>
    </rPh>
    <phoneticPr fontId="1"/>
  </si>
  <si>
    <t>DMZのLB</t>
    <phoneticPr fontId="1"/>
  </si>
  <si>
    <t>代理店サーバの内部LAN</t>
    <rPh sb="0" eb="3">
      <t>ダイリテン</t>
    </rPh>
    <rPh sb="7" eb="9">
      <t>ナイブ</t>
    </rPh>
    <phoneticPr fontId="1"/>
  </si>
  <si>
    <t>代理店サーバ</t>
    <rPh sb="0" eb="3">
      <t>ダイリテン</t>
    </rPh>
    <phoneticPr fontId="1"/>
  </si>
  <si>
    <t>LBで負荷分散</t>
    <rPh sb="3" eb="7">
      <t>フカブンサン</t>
    </rPh>
    <phoneticPr fontId="1"/>
  </si>
  <si>
    <t>外出先からの営業システムの利用</t>
    <rPh sb="0" eb="3">
      <t>ガイシュツサキ</t>
    </rPh>
    <rPh sb="6" eb="8">
      <t>エイギョウ</t>
    </rPh>
    <rPh sb="13" eb="15">
      <t>リヨウ</t>
    </rPh>
    <phoneticPr fontId="1"/>
  </si>
  <si>
    <t>内部LANのNPCからWEBサイトのアクセスとアクセスはFP</t>
    <rPh sb="0" eb="2">
      <t>ナイブ</t>
    </rPh>
    <phoneticPr fontId="1"/>
  </si>
  <si>
    <t>外部DNSはゾーンを管理するだけでなく</t>
    <rPh sb="0" eb="2">
      <t>ガイブ</t>
    </rPh>
    <rPh sb="10" eb="12">
      <t>カンリ</t>
    </rPh>
    <phoneticPr fontId="1"/>
  </si>
  <si>
    <t>メール中継サーバ</t>
    <rPh sb="3" eb="5">
      <t>チュウケイ</t>
    </rPh>
    <phoneticPr fontId="1"/>
  </si>
  <si>
    <t>TCP</t>
    <phoneticPr fontId="1"/>
  </si>
  <si>
    <t>ICMP</t>
    <phoneticPr fontId="1"/>
  </si>
  <si>
    <t>SYNフラッド攻撃の防御</t>
    <rPh sb="7" eb="9">
      <t>コウゲキ</t>
    </rPh>
    <rPh sb="10" eb="12">
      <t>ボウギョ</t>
    </rPh>
    <phoneticPr fontId="1"/>
  </si>
  <si>
    <t>x.y.z.1</t>
    <phoneticPr fontId="1"/>
  </si>
  <si>
    <t>ゾーン転送</t>
    <rPh sb="3" eb="5">
      <t>テンソウ</t>
    </rPh>
    <phoneticPr fontId="1"/>
  </si>
  <si>
    <t>シーケンス</t>
    <phoneticPr fontId="1"/>
  </si>
  <si>
    <t>確認応答番号</t>
    <rPh sb="0" eb="2">
      <t>カクニン</t>
    </rPh>
    <rPh sb="2" eb="4">
      <t>オウトウ</t>
    </rPh>
    <rPh sb="4" eb="6">
      <t>バンゴウ</t>
    </rPh>
    <phoneticPr fontId="1"/>
  </si>
  <si>
    <t>送信元IPアドレスが真正なものかを確認し、不正な場合パケットを破棄する</t>
    <rPh sb="0" eb="3">
      <t>ソウシンモト</t>
    </rPh>
    <rPh sb="10" eb="12">
      <t>シンセイ</t>
    </rPh>
    <rPh sb="17" eb="19">
      <t>カクニン</t>
    </rPh>
    <rPh sb="21" eb="23">
      <t>フセイ</t>
    </rPh>
    <rPh sb="24" eb="26">
      <t>バアイ</t>
    </rPh>
    <rPh sb="31" eb="33">
      <t>ハキ</t>
    </rPh>
    <phoneticPr fontId="1"/>
  </si>
  <si>
    <t>α.β.γ.15</t>
    <phoneticPr fontId="1"/>
  </si>
  <si>
    <t>FPサーバー</t>
    <phoneticPr fontId="1"/>
  </si>
  <si>
    <t>コネクション準備段階ではメモリの確保が不要なため</t>
    <rPh sb="6" eb="8">
      <t>ジュンビ</t>
    </rPh>
    <rPh sb="8" eb="10">
      <t>ダンカイ</t>
    </rPh>
    <rPh sb="16" eb="18">
      <t>カクホ</t>
    </rPh>
    <rPh sb="19" eb="21">
      <t>フヨウ</t>
    </rPh>
    <phoneticPr fontId="1"/>
  </si>
  <si>
    <t>防止できていると判断した李湯</t>
    <rPh sb="0" eb="2">
      <t>ボウシ</t>
    </rPh>
    <rPh sb="8" eb="10">
      <t>ハンダン</t>
    </rPh>
    <rPh sb="12" eb="14">
      <t>リユ</t>
    </rPh>
    <phoneticPr fontId="1"/>
  </si>
  <si>
    <t>FPサーバんはインターネットからのコネクションが確立できないため</t>
    <rPh sb="24" eb="26">
      <t>カクリツ</t>
    </rPh>
    <phoneticPr fontId="1"/>
  </si>
  <si>
    <t>インターネットより受信したW社のメールアドレス宛以外のメールは中継処理しない</t>
    <rPh sb="9" eb="11">
      <t>ジュシン</t>
    </rPh>
    <rPh sb="14" eb="15">
      <t>シャ</t>
    </rPh>
    <rPh sb="23" eb="24">
      <t>アテ</t>
    </rPh>
    <rPh sb="24" eb="26">
      <t>イガイ</t>
    </rPh>
    <rPh sb="31" eb="33">
      <t>チュウケイ</t>
    </rPh>
    <rPh sb="33" eb="35">
      <t>ショリ</t>
    </rPh>
    <phoneticPr fontId="1"/>
  </si>
  <si>
    <t>α.β.γ.6</t>
    <phoneticPr fontId="1"/>
  </si>
  <si>
    <t>any</t>
    <phoneticPr fontId="1"/>
  </si>
  <si>
    <t>DNSのリスク</t>
    <phoneticPr fontId="1"/>
  </si>
  <si>
    <t>キャッシュポイズニング</t>
    <phoneticPr fontId="1"/>
  </si>
  <si>
    <t>宛先ポート番号、識別子</t>
    <rPh sb="0" eb="2">
      <t>アテサキ</t>
    </rPh>
    <rPh sb="5" eb="7">
      <t>バンゴウ</t>
    </rPh>
    <rPh sb="8" eb="11">
      <t>シキベツシ</t>
    </rPh>
    <phoneticPr fontId="1"/>
  </si>
  <si>
    <t>古リゾルバサーバーのIPアドレス</t>
    <rPh sb="0" eb="1">
      <t>フル</t>
    </rPh>
    <phoneticPr fontId="1"/>
  </si>
  <si>
    <t>InternetからDNSサーバー2へのパケットがFWで廃棄されるため</t>
    <rPh sb="28" eb="30">
      <t>ハイキ</t>
    </rPh>
    <phoneticPr fontId="1"/>
  </si>
  <si>
    <t>マルウェア内部LANの親友</t>
    <rPh sb="5" eb="7">
      <t>ナイブ</t>
    </rPh>
    <rPh sb="11" eb="13">
      <t>シンユウ</t>
    </rPh>
    <phoneticPr fontId="1"/>
  </si>
  <si>
    <t>W社の除法が漏洩すると侵入される</t>
    <rPh sb="1" eb="2">
      <t>シャ</t>
    </rPh>
    <rPh sb="3" eb="5">
      <t>ジョホウ</t>
    </rPh>
    <rPh sb="6" eb="8">
      <t>ロウエイ</t>
    </rPh>
    <rPh sb="11" eb="13">
      <t>シンニュウ</t>
    </rPh>
    <phoneticPr fontId="1"/>
  </si>
  <si>
    <t>eghf</t>
    <phoneticPr fontId="1"/>
  </si>
  <si>
    <t>アクセス先のホスト名をランダムに変更する</t>
    <rPh sb="4" eb="5">
      <t>サキ</t>
    </rPh>
    <rPh sb="9" eb="10">
      <t>メイ</t>
    </rPh>
    <rPh sb="16" eb="18">
      <t>ヘンコウ</t>
    </rPh>
    <phoneticPr fontId="1"/>
  </si>
  <si>
    <t>FPサーバでの認証エラーが短時間に繰り返されている</t>
    <rPh sb="7" eb="9">
      <t>ニンショウ</t>
    </rPh>
    <rPh sb="13" eb="16">
      <t>タンジカン</t>
    </rPh>
    <rPh sb="17" eb="18">
      <t>ク</t>
    </rPh>
    <rPh sb="19" eb="20">
      <t>カエ</t>
    </rPh>
    <phoneticPr fontId="1"/>
  </si>
  <si>
    <t>宛先が設定できないため</t>
    <rPh sb="0" eb="2">
      <t>アテサキ</t>
    </rPh>
    <rPh sb="3" eb="5">
      <t>セッテイ</t>
    </rPh>
    <phoneticPr fontId="1"/>
  </si>
  <si>
    <t>問題1</t>
    <rPh sb="0" eb="2">
      <t>モンダイ</t>
    </rPh>
    <phoneticPr fontId="1"/>
  </si>
  <si>
    <t>LANセキュリティ対策</t>
    <rPh sb="9" eb="11">
      <t>タイサク</t>
    </rPh>
    <phoneticPr fontId="1"/>
  </si>
  <si>
    <t>ネットワーク構成</t>
    <rPh sb="6" eb="8">
      <t>コウセイ</t>
    </rPh>
    <phoneticPr fontId="1"/>
  </si>
  <si>
    <t>セキュリティ対策</t>
    <rPh sb="6" eb="8">
      <t>タイサク</t>
    </rPh>
    <phoneticPr fontId="1"/>
  </si>
  <si>
    <t>LAN</t>
    <phoneticPr fontId="1"/>
  </si>
  <si>
    <t>セグメントごとに分割</t>
    <rPh sb="8" eb="10">
      <t>ブンカツ</t>
    </rPh>
    <phoneticPr fontId="1"/>
  </si>
  <si>
    <t>ポートVLAN</t>
    <phoneticPr fontId="1"/>
  </si>
  <si>
    <t>DHCPリレーエージェント</t>
    <phoneticPr fontId="1"/>
  </si>
  <si>
    <t>L3SW1, L3SW2</t>
    <phoneticPr fontId="1"/>
  </si>
  <si>
    <t>PC管理サーバ</t>
    <rPh sb="2" eb="4">
      <t>カンリ</t>
    </rPh>
    <phoneticPr fontId="1"/>
  </si>
  <si>
    <t>未登録POC</t>
    <rPh sb="0" eb="3">
      <t>ミトウロク</t>
    </rPh>
    <phoneticPr fontId="1"/>
  </si>
  <si>
    <t>不正PCは通信禁止</t>
    <rPh sb="0" eb="2">
      <t>フセイ</t>
    </rPh>
    <rPh sb="5" eb="7">
      <t>ツウシン</t>
    </rPh>
    <rPh sb="7" eb="9">
      <t>キンシ</t>
    </rPh>
    <phoneticPr fontId="1"/>
  </si>
  <si>
    <t>DHCPとL2SWで通信制限</t>
    <rPh sb="10" eb="14">
      <t>ツウシンセイゲン</t>
    </rPh>
    <phoneticPr fontId="1"/>
  </si>
  <si>
    <t>IPアドレスを付与すれば不正ＰＣでも通信可能となる</t>
    <rPh sb="7" eb="9">
      <t>フヨ</t>
    </rPh>
    <rPh sb="12" eb="14">
      <t>フセイ</t>
    </rPh>
    <rPh sb="18" eb="20">
      <t>ツウシン</t>
    </rPh>
    <rPh sb="20" eb="22">
      <t>カノウ</t>
    </rPh>
    <phoneticPr fontId="1"/>
  </si>
  <si>
    <t>ＤＨＣＰスヌーピングの制限を受けない設定</t>
    <rPh sb="11" eb="13">
      <t>セイゲン</t>
    </rPh>
    <rPh sb="14" eb="15">
      <t>ウ</t>
    </rPh>
    <rPh sb="18" eb="20">
      <t>セッテイ</t>
    </rPh>
    <phoneticPr fontId="1"/>
  </si>
  <si>
    <t>問題2</t>
    <rPh sb="0" eb="2">
      <t>モンダイ</t>
    </rPh>
    <phoneticPr fontId="1"/>
  </si>
  <si>
    <t>２</t>
    <phoneticPr fontId="1"/>
  </si>
  <si>
    <t>A</t>
    <phoneticPr fontId="1"/>
  </si>
  <si>
    <t>キ</t>
    <phoneticPr fontId="1"/>
  </si>
  <si>
    <t>ク</t>
    <phoneticPr fontId="1"/>
  </si>
  <si>
    <t>ケ</t>
    <phoneticPr fontId="1"/>
  </si>
  <si>
    <t>H社</t>
    <rPh sb="1" eb="2">
      <t>シャ</t>
    </rPh>
    <phoneticPr fontId="1"/>
  </si>
  <si>
    <t>業務システム</t>
    <rPh sb="0" eb="2">
      <t>ギョウム</t>
    </rPh>
    <phoneticPr fontId="1"/>
  </si>
  <si>
    <t>システム会社</t>
    <rPh sb="4" eb="6">
      <t>カイシャ</t>
    </rPh>
    <phoneticPr fontId="1"/>
  </si>
  <si>
    <t>顧客システム</t>
    <rPh sb="0" eb="2">
      <t>コキャク</t>
    </rPh>
    <phoneticPr fontId="1"/>
  </si>
  <si>
    <t>構築システム</t>
    <rPh sb="0" eb="2">
      <t>コウチク</t>
    </rPh>
    <phoneticPr fontId="1"/>
  </si>
  <si>
    <t>顧客がサブネット</t>
    <rPh sb="0" eb="2">
      <t>コキャク</t>
    </rPh>
    <phoneticPr fontId="1"/>
  </si>
  <si>
    <t>当該とは関係ないPCからアクセス禁止「システム納入されるかで確認不可能</t>
    <rPh sb="0" eb="2">
      <t>トウガイ</t>
    </rPh>
    <rPh sb="4" eb="6">
      <t>カンケイ</t>
    </rPh>
    <rPh sb="16" eb="18">
      <t>キンシ</t>
    </rPh>
    <rPh sb="23" eb="25">
      <t>ノウニュウ</t>
    </rPh>
    <rPh sb="30" eb="32">
      <t>カクニン</t>
    </rPh>
    <rPh sb="32" eb="35">
      <t>フカノウ</t>
    </rPh>
    <phoneticPr fontId="1"/>
  </si>
  <si>
    <t>SSL-VPN</t>
    <phoneticPr fontId="1"/>
  </si>
  <si>
    <t>VPN技術</t>
    <rPh sb="3" eb="5">
      <t>ギジュツ</t>
    </rPh>
    <phoneticPr fontId="1"/>
  </si>
  <si>
    <t>SHA-1</t>
    <phoneticPr fontId="1"/>
  </si>
  <si>
    <t>TLS1.2</t>
    <phoneticPr fontId="1"/>
  </si>
  <si>
    <t>Client_HELLO</t>
    <phoneticPr fontId="1"/>
  </si>
  <si>
    <t>SERVER_HELLO</t>
    <phoneticPr fontId="1"/>
  </si>
  <si>
    <t>IP-VPN</t>
    <phoneticPr fontId="1"/>
  </si>
  <si>
    <t>鍵交換</t>
    <rPh sb="0" eb="3">
      <t>カギコウカン</t>
    </rPh>
    <phoneticPr fontId="1"/>
  </si>
  <si>
    <t>認証</t>
    <rPh sb="0" eb="2">
      <t>ニンショウ</t>
    </rPh>
    <phoneticPr fontId="1"/>
  </si>
  <si>
    <t>メッセージ認証</t>
    <rPh sb="5" eb="7">
      <t>ニンショウ</t>
    </rPh>
    <phoneticPr fontId="1"/>
  </si>
  <si>
    <t>顧客システムが様々なプロトコルを利用している</t>
    <rPh sb="0" eb="2">
      <t>コキャク</t>
    </rPh>
    <rPh sb="7" eb="9">
      <t>サマザマ</t>
    </rPh>
    <rPh sb="16" eb="18">
      <t>リヨウ</t>
    </rPh>
    <phoneticPr fontId="1"/>
  </si>
  <si>
    <t>接続の認証に応じてIPアドレスを割り当てる</t>
    <rPh sb="0" eb="2">
      <t>セツゾク</t>
    </rPh>
    <rPh sb="3" eb="5">
      <t>ニンショウ</t>
    </rPh>
    <rPh sb="6" eb="7">
      <t>オウ</t>
    </rPh>
    <rPh sb="16" eb="17">
      <t>ワ</t>
    </rPh>
    <rPh sb="18" eb="19">
      <t>ア</t>
    </rPh>
    <phoneticPr fontId="1"/>
  </si>
  <si>
    <t>FW</t>
    <phoneticPr fontId="1"/>
  </si>
  <si>
    <t>SSL-VPN導入</t>
    <rPh sb="7" eb="9">
      <t>ドウニュウ</t>
    </rPh>
    <phoneticPr fontId="1"/>
  </si>
  <si>
    <t>SSL-VPN装置の導入</t>
    <rPh sb="7" eb="9">
      <t>ソウチ</t>
    </rPh>
    <rPh sb="10" eb="12">
      <t>ドウニュウ</t>
    </rPh>
    <phoneticPr fontId="1"/>
  </si>
  <si>
    <t>ユーザ情報にはVPN接続時の任sh上の情報が含まれる</t>
    <rPh sb="3" eb="5">
      <t>ジョウホウ</t>
    </rPh>
    <rPh sb="10" eb="13">
      <t>セツゾクジ</t>
    </rPh>
    <rPh sb="14" eb="15">
      <t>ニン</t>
    </rPh>
    <rPh sb="17" eb="18">
      <t>ジョウ</t>
    </rPh>
    <rPh sb="19" eb="21">
      <t>ジョウホウ</t>
    </rPh>
    <rPh sb="22" eb="23">
      <t>フク</t>
    </rPh>
    <phoneticPr fontId="1"/>
  </si>
  <si>
    <t>内部LAN</t>
    <rPh sb="0" eb="2">
      <t>ナイブ</t>
    </rPh>
    <phoneticPr fontId="1"/>
  </si>
  <si>
    <t>DMZ</t>
    <phoneticPr fontId="1"/>
  </si>
  <si>
    <t>顧客k</t>
    <rPh sb="0" eb="2">
      <t>コキャク</t>
    </rPh>
    <phoneticPr fontId="1"/>
  </si>
  <si>
    <t>VPN接続PCのIPアドレスプール</t>
    <rPh sb="3" eb="5">
      <t>セツゾク</t>
    </rPh>
    <phoneticPr fontId="1"/>
  </si>
  <si>
    <t>172.16.0.0/16</t>
    <phoneticPr fontId="1"/>
  </si>
  <si>
    <t>202.y.44.2</t>
    <phoneticPr fontId="1"/>
  </si>
  <si>
    <t>通信制限する</t>
    <rPh sb="0" eb="2">
      <t>ツウシン</t>
    </rPh>
    <rPh sb="2" eb="4">
      <t>セイゲン</t>
    </rPh>
    <phoneticPr fontId="1"/>
  </si>
  <si>
    <t>アクセスリストを設定→通信制御する</t>
    <rPh sb="8" eb="10">
      <t>セッテイ</t>
    </rPh>
    <rPh sb="11" eb="15">
      <t>ツウシンセイギョ</t>
    </rPh>
    <phoneticPr fontId="1"/>
  </si>
  <si>
    <t>顧客システム構築ネットワークから他者のこきゃくシステム構築ネットワークの通信</t>
    <rPh sb="0" eb="2">
      <t>コキャク</t>
    </rPh>
    <rPh sb="6" eb="8">
      <t>コウチク</t>
    </rPh>
    <rPh sb="16" eb="18">
      <t>タシャ</t>
    </rPh>
    <rPh sb="27" eb="29">
      <t>コウチク</t>
    </rPh>
    <rPh sb="36" eb="38">
      <t>ツウシン</t>
    </rPh>
    <phoneticPr fontId="1"/>
  </si>
  <si>
    <t>PCの仮想NICがSSL-VPN装置と通信を行う</t>
    <rPh sb="3" eb="5">
      <t>カソウ</t>
    </rPh>
    <rPh sb="16" eb="18">
      <t>ソウチ</t>
    </rPh>
    <rPh sb="19" eb="21">
      <t>ツウシン</t>
    </rPh>
    <rPh sb="22" eb="23">
      <t>オコナ</t>
    </rPh>
    <phoneticPr fontId="1"/>
  </si>
  <si>
    <t>問題3</t>
    <rPh sb="0" eb="2">
      <t>モンダイ</t>
    </rPh>
    <phoneticPr fontId="1"/>
  </si>
  <si>
    <t>f</t>
    <phoneticPr fontId="1"/>
  </si>
  <si>
    <t>g</t>
    <phoneticPr fontId="1"/>
  </si>
  <si>
    <t>Y産業機械</t>
    <rPh sb="1" eb="5">
      <t>サンギョウキカイ</t>
    </rPh>
    <phoneticPr fontId="1"/>
  </si>
  <si>
    <t>本社と工場</t>
    <rPh sb="0" eb="2">
      <t>ホンシャ</t>
    </rPh>
    <rPh sb="3" eb="5">
      <t>コウジョウ</t>
    </rPh>
    <phoneticPr fontId="1"/>
  </si>
  <si>
    <t>Eメールで情報交換</t>
    <rPh sb="5" eb="7">
      <t>ジョウホウ</t>
    </rPh>
    <rPh sb="7" eb="9">
      <t>コウカン</t>
    </rPh>
    <phoneticPr fontId="1"/>
  </si>
  <si>
    <t>PCとファイルサーバ</t>
    <phoneticPr fontId="1"/>
  </si>
  <si>
    <t>管理PC</t>
    <rPh sb="0" eb="2">
      <t>カンリ</t>
    </rPh>
    <phoneticPr fontId="1"/>
  </si>
  <si>
    <t>ネットの差０場アクセスはプロキシを介して可能</t>
    <rPh sb="4" eb="5">
      <t>サ</t>
    </rPh>
    <rPh sb="6" eb="7">
      <t>バ</t>
    </rPh>
    <rPh sb="17" eb="18">
      <t>カイ</t>
    </rPh>
    <rPh sb="20" eb="22">
      <t>カノウ</t>
    </rPh>
    <phoneticPr fontId="1"/>
  </si>
  <si>
    <t>標的型攻撃への対応</t>
    <rPh sb="0" eb="3">
      <t>ヒョウテキカタ</t>
    </rPh>
    <rPh sb="3" eb="5">
      <t>コウゲキ</t>
    </rPh>
    <rPh sb="7" eb="9">
      <t>タイオウ</t>
    </rPh>
    <phoneticPr fontId="1"/>
  </si>
  <si>
    <t>SPFにより入口対策</t>
    <rPh sb="6" eb="8">
      <t>イリグチ</t>
    </rPh>
    <rPh sb="8" eb="10">
      <t>タイサク</t>
    </rPh>
    <phoneticPr fontId="1"/>
  </si>
  <si>
    <t>バックドアを発見しやすくする</t>
    <rPh sb="6" eb="8">
      <t>ハッケン</t>
    </rPh>
    <phoneticPr fontId="1"/>
  </si>
  <si>
    <t>コンテンツフィルタリング</t>
    <phoneticPr fontId="1"/>
  </si>
  <si>
    <t>トンネリング</t>
    <phoneticPr fontId="1"/>
  </si>
  <si>
    <t>サーバ認証</t>
    <rPh sb="3" eb="5">
      <t>ニンショウ</t>
    </rPh>
    <phoneticPr fontId="1"/>
  </si>
  <si>
    <t>復号かの実現法を確認</t>
    <rPh sb="0" eb="2">
      <t>フクゴウ</t>
    </rPh>
    <rPh sb="4" eb="7">
      <t>ジツゲンホウ</t>
    </rPh>
    <rPh sb="8" eb="10">
      <t>カクニン</t>
    </rPh>
    <phoneticPr fontId="1"/>
  </si>
  <si>
    <t>SSLセッションが解説</t>
    <rPh sb="9" eb="11">
      <t>カイセツ</t>
    </rPh>
    <phoneticPr fontId="1"/>
  </si>
  <si>
    <t>サーバ証明書2を二章</t>
    <rPh sb="3" eb="6">
      <t>ショウメイショ</t>
    </rPh>
    <rPh sb="8" eb="10">
      <t>ニショウ</t>
    </rPh>
    <phoneticPr fontId="1"/>
  </si>
  <si>
    <t>プロキシサーバとWEBサーバ</t>
    <phoneticPr fontId="1"/>
  </si>
  <si>
    <t>サーバ証明書を検証</t>
    <rPh sb="3" eb="6">
      <t>ショウメイショ</t>
    </rPh>
    <rPh sb="7" eb="9">
      <t>ケンショウ</t>
    </rPh>
    <phoneticPr fontId="1"/>
  </si>
  <si>
    <t>プロキシサーバのルート証明書</t>
    <rPh sb="11" eb="14">
      <t>ショウメイショ</t>
    </rPh>
    <phoneticPr fontId="1"/>
  </si>
  <si>
    <t>プロキシサーバのプレマスタシークレットを復号できないため</t>
    <rPh sb="20" eb="22">
      <t>フクゴウ</t>
    </rPh>
    <phoneticPr fontId="1"/>
  </si>
  <si>
    <t>セグメントのパケットフィルタリング</t>
    <phoneticPr fontId="1"/>
  </si>
  <si>
    <t>P3、IN</t>
    <phoneticPr fontId="1"/>
  </si>
  <si>
    <t>P5、OUT</t>
    <phoneticPr fontId="1"/>
  </si>
  <si>
    <t>部署1からサーバセグメントへの疎通確認を行う</t>
    <rPh sb="0" eb="2">
      <t>ブショ</t>
    </rPh>
    <rPh sb="15" eb="19">
      <t>ソツウカクニン</t>
    </rPh>
    <rPh sb="20" eb="21">
      <t>オコナ</t>
    </rPh>
    <phoneticPr fontId="1"/>
  </si>
  <si>
    <t>パケットフィルタルールに漏れ</t>
    <rPh sb="12" eb="13">
      <t>モ</t>
    </rPh>
    <phoneticPr fontId="1"/>
  </si>
  <si>
    <t>192.168.1.0/24</t>
    <phoneticPr fontId="1"/>
  </si>
  <si>
    <t>許可</t>
    <rPh sb="0" eb="2">
      <t>キョカ</t>
    </rPh>
    <phoneticPr fontId="1"/>
  </si>
  <si>
    <t>192.168.11.0/24</t>
    <phoneticPr fontId="1"/>
  </si>
  <si>
    <t>UDP</t>
    <phoneticPr fontId="1"/>
  </si>
  <si>
    <t>any(UDPはチェックされない)</t>
    <phoneticPr fontId="1"/>
  </si>
  <si>
    <t>部署1から管理PCへのTCPコネクションは禁止するが、逆方向のTCPコネクション通信は許可する</t>
    <rPh sb="0" eb="2">
      <t>ブショ</t>
    </rPh>
    <rPh sb="5" eb="7">
      <t>カンリ</t>
    </rPh>
    <rPh sb="21" eb="23">
      <t>キンシ</t>
    </rPh>
    <rPh sb="27" eb="30">
      <t>ギャクホウコウ</t>
    </rPh>
    <rPh sb="40" eb="42">
      <t>ツウシン</t>
    </rPh>
    <rPh sb="43" eb="45">
      <t>キョカ</t>
    </rPh>
    <phoneticPr fontId="1"/>
  </si>
  <si>
    <t>入口対策と出口対策</t>
    <rPh sb="0" eb="4">
      <t>イリグチタイサク</t>
    </rPh>
    <rPh sb="5" eb="7">
      <t>デグチ</t>
    </rPh>
    <rPh sb="7" eb="9">
      <t>タイサク</t>
    </rPh>
    <phoneticPr fontId="1"/>
  </si>
  <si>
    <t>社外のWEBサーバの間のSSLで暗号化された通信において認証された利用者と通信内容が取得できる。</t>
    <rPh sb="0" eb="2">
      <t>シャガイ</t>
    </rPh>
    <rPh sb="10" eb="11">
      <t>アイダ</t>
    </rPh>
    <rPh sb="16" eb="19">
      <t>アンゴウカ</t>
    </rPh>
    <rPh sb="22" eb="24">
      <t>ツウシン</t>
    </rPh>
    <rPh sb="28" eb="30">
      <t>ニンショウ</t>
    </rPh>
    <rPh sb="33" eb="36">
      <t>リヨウシャ</t>
    </rPh>
    <rPh sb="37" eb="41">
      <t>ツウシンナイヨウ</t>
    </rPh>
    <rPh sb="42" eb="44">
      <t>シュトク</t>
    </rPh>
    <phoneticPr fontId="1"/>
  </si>
  <si>
    <t>ろぐの検査方法</t>
    <rPh sb="3" eb="7">
      <t>ケンサホウホウ</t>
    </rPh>
    <phoneticPr fontId="1"/>
  </si>
  <si>
    <t>マルウェアの社内での活動を早期に発見できる</t>
    <rPh sb="6" eb="8">
      <t>シャナイ</t>
    </rPh>
    <rPh sb="10" eb="12">
      <t>カツドウ</t>
    </rPh>
    <rPh sb="13" eb="15">
      <t>ソウキ</t>
    </rPh>
    <rPh sb="16" eb="18">
      <t>ハッケン</t>
    </rPh>
    <phoneticPr fontId="1"/>
  </si>
  <si>
    <t>Y社衣料販売会社</t>
    <rPh sb="1" eb="2">
      <t>シャ</t>
    </rPh>
    <rPh sb="2" eb="6">
      <t>イリョウハンバイ</t>
    </rPh>
    <rPh sb="6" eb="8">
      <t>カイシャ</t>
    </rPh>
    <phoneticPr fontId="1"/>
  </si>
  <si>
    <t>拠点がある</t>
    <rPh sb="0" eb="2">
      <t>キョテン</t>
    </rPh>
    <phoneticPr fontId="1"/>
  </si>
  <si>
    <t>広域イーサネットで接続</t>
    <rPh sb="0" eb="2">
      <t>コウイキ</t>
    </rPh>
    <rPh sb="9" eb="11">
      <t>セツゾク</t>
    </rPh>
    <phoneticPr fontId="1"/>
  </si>
  <si>
    <t>WAN回線の可用性向上</t>
    <rPh sb="3" eb="5">
      <t>カイセン</t>
    </rPh>
    <rPh sb="6" eb="9">
      <t>カヨウセイ</t>
    </rPh>
    <rPh sb="9" eb="11">
      <t>コウジョウ</t>
    </rPh>
    <phoneticPr fontId="1"/>
  </si>
  <si>
    <t>最高治世</t>
    <rPh sb="0" eb="4">
      <t>サイコウチセイ</t>
    </rPh>
    <phoneticPr fontId="1"/>
  </si>
  <si>
    <t>新ネットワーク要件</t>
    <rPh sb="0" eb="1">
      <t>シン</t>
    </rPh>
    <rPh sb="7" eb="9">
      <t>ヨウケン</t>
    </rPh>
    <phoneticPr fontId="1"/>
  </si>
  <si>
    <t>VPN→WANを冗長化</t>
    <rPh sb="8" eb="11">
      <t>ジョウチョウカ</t>
    </rPh>
    <phoneticPr fontId="1"/>
  </si>
  <si>
    <t>DMサーバ以外のサーバをDCに移管</t>
    <rPh sb="5" eb="7">
      <t>イガイ</t>
    </rPh>
    <rPh sb="15" eb="17">
      <t>イカン</t>
    </rPh>
    <phoneticPr fontId="1"/>
  </si>
  <si>
    <t>Ipsecでやり取りされるメッセージが改ざんされていないこと</t>
    <rPh sb="8" eb="9">
      <t>ト</t>
    </rPh>
    <rPh sb="19" eb="20">
      <t>カイ</t>
    </rPh>
    <phoneticPr fontId="1"/>
  </si>
  <si>
    <t>OSPFの経路情報交換はマルチキャストによりやり取りされるため</t>
    <rPh sb="5" eb="7">
      <t>ケイロ</t>
    </rPh>
    <rPh sb="7" eb="9">
      <t>ジョウホウ</t>
    </rPh>
    <rPh sb="9" eb="11">
      <t>コウカン</t>
    </rPh>
    <rPh sb="24" eb="25">
      <t>ト</t>
    </rPh>
    <phoneticPr fontId="1"/>
  </si>
  <si>
    <t>ネットワークの調査</t>
    <rPh sb="7" eb="9">
      <t>チョウサ</t>
    </rPh>
    <phoneticPr fontId="1"/>
  </si>
  <si>
    <t>GREがトンネリング</t>
    <phoneticPr fontId="1"/>
  </si>
  <si>
    <t>L2TP</t>
    <phoneticPr fontId="1"/>
  </si>
  <si>
    <t>PPPをカプセル化</t>
    <rPh sb="8" eb="9">
      <t>カ</t>
    </rPh>
    <phoneticPr fontId="1"/>
  </si>
  <si>
    <t>サーバ通信のヘッダ</t>
    <rPh sb="3" eb="5">
      <t>ツウシン</t>
    </rPh>
    <phoneticPr fontId="1"/>
  </si>
  <si>
    <t>LACかLNS</t>
    <phoneticPr fontId="1"/>
  </si>
  <si>
    <t>IPヘッダ１</t>
    <phoneticPr fontId="1"/>
  </si>
  <si>
    <t>IPヘッダ２</t>
    <phoneticPr fontId="1"/>
  </si>
  <si>
    <t>経路情報の変更が必要ない</t>
    <rPh sb="0" eb="2">
      <t>ケイロ</t>
    </rPh>
    <rPh sb="2" eb="4">
      <t>ジョウホウ</t>
    </rPh>
    <rPh sb="5" eb="7">
      <t>ヘンコウ</t>
    </rPh>
    <rPh sb="8" eb="10">
      <t>ヒツヨウ</t>
    </rPh>
    <phoneticPr fontId="1"/>
  </si>
  <si>
    <t>稼働方法の検討</t>
    <rPh sb="0" eb="4">
      <t>カドウホウホウ</t>
    </rPh>
    <rPh sb="5" eb="7">
      <t>ケントウ</t>
    </rPh>
    <phoneticPr fontId="1"/>
  </si>
  <si>
    <t>ESPが必要</t>
    <rPh sb="4" eb="6">
      <t>ヒツヨウ</t>
    </rPh>
    <phoneticPr fontId="1"/>
  </si>
  <si>
    <t>GREでトンネリングが行われるから</t>
    <rPh sb="11" eb="12">
      <t>オコナ</t>
    </rPh>
    <phoneticPr fontId="1"/>
  </si>
  <si>
    <t>ESP認証データ長は使用する認証アルゴリズムによって変化するから</t>
    <rPh sb="3" eb="5">
      <t>ニンショウ</t>
    </rPh>
    <rPh sb="8" eb="9">
      <t>ナガ</t>
    </rPh>
    <rPh sb="10" eb="12">
      <t>シヨウ</t>
    </rPh>
    <rPh sb="14" eb="16">
      <t>ニンショウ</t>
    </rPh>
    <rPh sb="26" eb="28">
      <t>ヘンカ</t>
    </rPh>
    <phoneticPr fontId="1"/>
  </si>
  <si>
    <t>IPヘッダ2、TCP/UDPヘッダ、データ</t>
    <phoneticPr fontId="1"/>
  </si>
  <si>
    <t>国内ベンダ</t>
    <rPh sb="0" eb="2">
      <t>コクナイ</t>
    </rPh>
    <phoneticPr fontId="1"/>
  </si>
  <si>
    <t>営業支援システムを稼働している</t>
    <rPh sb="0" eb="4">
      <t>エイギョウシエン</t>
    </rPh>
    <rPh sb="9" eb="11">
      <t>カドウ</t>
    </rPh>
    <phoneticPr fontId="1"/>
  </si>
  <si>
    <t>代理店サーバは２題</t>
    <rPh sb="0" eb="3">
      <t>ダイリテン</t>
    </rPh>
    <rPh sb="8" eb="9">
      <t>ダイ</t>
    </rPh>
    <phoneticPr fontId="1"/>
  </si>
  <si>
    <t>DL</t>
    <phoneticPr fontId="1"/>
  </si>
  <si>
    <t>DMZのRPサーバと構成される</t>
    <rPh sb="10" eb="12">
      <t>コウセイ</t>
    </rPh>
    <phoneticPr fontId="1"/>
  </si>
  <si>
    <t>NPCあらWEBサーバへのアクセスはFPサーバ経由</t>
    <rPh sb="23" eb="25">
      <t>ケイユ</t>
    </rPh>
    <phoneticPr fontId="1"/>
  </si>
  <si>
    <t>古リゾルバとしても機能する</t>
    <rPh sb="0" eb="1">
      <t>フル</t>
    </rPh>
    <rPh sb="9" eb="11">
      <t>キノウ</t>
    </rPh>
    <phoneticPr fontId="1"/>
  </si>
  <si>
    <t>内部DNSはゾーンを転送</t>
    <rPh sb="0" eb="2">
      <t>ナイブ</t>
    </rPh>
    <rPh sb="10" eb="12">
      <t>テンソウ</t>
    </rPh>
    <phoneticPr fontId="1"/>
  </si>
  <si>
    <t>FWでインターネットのふぃつた</t>
    <phoneticPr fontId="1"/>
  </si>
  <si>
    <t>ゾーン転送する場合はTCP53</t>
    <rPh sb="3" eb="5">
      <t>テンソウ</t>
    </rPh>
    <rPh sb="7" eb="9">
      <t>バアイ</t>
    </rPh>
    <phoneticPr fontId="1"/>
  </si>
  <si>
    <t>α.β.γ.1</t>
    <phoneticPr fontId="1"/>
  </si>
  <si>
    <t>アドレス</t>
    <phoneticPr fontId="1"/>
  </si>
  <si>
    <t>ルータが受信したパケットの送信元IPアドレスがルーティングテーブルに存在しない場合、受信したパケットを廃棄する。</t>
    <rPh sb="4" eb="6">
      <t>ジュシン</t>
    </rPh>
    <rPh sb="13" eb="16">
      <t>ソウシンモト</t>
    </rPh>
    <rPh sb="34" eb="36">
      <t>ソンザイ</t>
    </rPh>
    <rPh sb="39" eb="41">
      <t>バアイ</t>
    </rPh>
    <rPh sb="42" eb="44">
      <t>ジュシン</t>
    </rPh>
    <rPh sb="51" eb="53">
      <t>ハイキ</t>
    </rPh>
    <phoneticPr fontId="1"/>
  </si>
  <si>
    <t>DOS攻撃</t>
    <rPh sb="3" eb="5">
      <t>コウゲキ</t>
    </rPh>
    <phoneticPr fontId="1"/>
  </si>
  <si>
    <t>ICMP Unreachable</t>
    <phoneticPr fontId="1"/>
  </si>
  <si>
    <t>確認応答</t>
    <rPh sb="0" eb="2">
      <t>カクニン</t>
    </rPh>
    <rPh sb="2" eb="4">
      <t>オウトウ</t>
    </rPh>
    <phoneticPr fontId="1"/>
  </si>
  <si>
    <t>コネクションの確立前にメモリ確保を行わないため。</t>
    <rPh sb="7" eb="9">
      <t>カクリツ</t>
    </rPh>
    <rPh sb="9" eb="10">
      <t>マエ</t>
    </rPh>
    <rPh sb="14" eb="16">
      <t>カクホ</t>
    </rPh>
    <rPh sb="17" eb="18">
      <t>オコナ</t>
    </rPh>
    <phoneticPr fontId="1"/>
  </si>
  <si>
    <t>FPサーバにはインターネットからのコネクションが確立できないため</t>
    <rPh sb="24" eb="26">
      <t>カクリツ</t>
    </rPh>
    <phoneticPr fontId="1"/>
  </si>
  <si>
    <t>メール中継はサーバの転送設定で防止している</t>
    <rPh sb="3" eb="5">
      <t>チュウケイ</t>
    </rPh>
    <rPh sb="10" eb="12">
      <t>テンソウ</t>
    </rPh>
    <rPh sb="12" eb="14">
      <t>セッテイ</t>
    </rPh>
    <rPh sb="15" eb="17">
      <t>ボウシ</t>
    </rPh>
    <phoneticPr fontId="1"/>
  </si>
  <si>
    <t>インターネットから受信したW社のメールアドレス宛以外のメールは中継処理しない</t>
    <rPh sb="9" eb="11">
      <t>ジュシン</t>
    </rPh>
    <rPh sb="14" eb="15">
      <t>シャ</t>
    </rPh>
    <rPh sb="23" eb="24">
      <t>アテ</t>
    </rPh>
    <rPh sb="24" eb="26">
      <t>イガイ</t>
    </rPh>
    <rPh sb="31" eb="35">
      <t>チュウケイショリ</t>
    </rPh>
    <phoneticPr fontId="1"/>
  </si>
  <si>
    <t>名前解決陽気憂に応用する必要がある</t>
    <rPh sb="0" eb="4">
      <t>ナマエカイケツ</t>
    </rPh>
    <rPh sb="4" eb="7">
      <t>ヨウキユウ</t>
    </rPh>
    <rPh sb="8" eb="10">
      <t>オウヨウ</t>
    </rPh>
    <rPh sb="12" eb="14">
      <t>ヒツヨウ</t>
    </rPh>
    <phoneticPr fontId="1"/>
  </si>
  <si>
    <t>鯖2が古リゾルバ</t>
    <rPh sb="0" eb="1">
      <t>サバ</t>
    </rPh>
    <rPh sb="3" eb="4">
      <t>フル</t>
    </rPh>
    <phoneticPr fontId="1"/>
  </si>
  <si>
    <t>コ</t>
    <phoneticPr fontId="1"/>
  </si>
  <si>
    <t>サ</t>
    <phoneticPr fontId="1"/>
  </si>
  <si>
    <t>DNSサーバの対策</t>
    <rPh sb="7" eb="9">
      <t>タイサク</t>
    </rPh>
    <phoneticPr fontId="1"/>
  </si>
  <si>
    <t>問合せパケットと応答パケット</t>
    <rPh sb="0" eb="2">
      <t>トイアワ</t>
    </rPh>
    <rPh sb="8" eb="10">
      <t>オウトウ</t>
    </rPh>
    <phoneticPr fontId="1"/>
  </si>
  <si>
    <t>宛先ポート番号、識別子</t>
    <rPh sb="0" eb="2">
      <t>アテサキ</t>
    </rPh>
    <rPh sb="1" eb="2">
      <t>サキ</t>
    </rPh>
    <rPh sb="5" eb="7">
      <t>バンゴウ</t>
    </rPh>
    <rPh sb="8" eb="11">
      <t>シキベツシ</t>
    </rPh>
    <phoneticPr fontId="1"/>
  </si>
  <si>
    <t>コンテンツサーバのIPアドレス</t>
    <phoneticPr fontId="1"/>
  </si>
  <si>
    <t>フルリゾルバのIPアドレス</t>
    <phoneticPr fontId="1"/>
  </si>
  <si>
    <t>n</t>
    <phoneticPr fontId="1"/>
  </si>
  <si>
    <t>m</t>
    <phoneticPr fontId="1"/>
  </si>
  <si>
    <t>攻撃者が送信するキャッシュぽいぞニングのためのDNS要求パケットがFWで廃棄されるため</t>
    <rPh sb="0" eb="3">
      <t>コウゲキシャ</t>
    </rPh>
    <rPh sb="4" eb="6">
      <t>ソウシン</t>
    </rPh>
    <rPh sb="26" eb="28">
      <t>ヨウキュウ</t>
    </rPh>
    <rPh sb="36" eb="38">
      <t>ハイキ</t>
    </rPh>
    <phoneticPr fontId="1"/>
  </si>
  <si>
    <t>FPサーバ</t>
    <phoneticPr fontId="1"/>
  </si>
  <si>
    <t>マルウェア内部LAN</t>
    <rPh sb="5" eb="7">
      <t>ナイブ</t>
    </rPh>
    <phoneticPr fontId="1"/>
  </si>
  <si>
    <t>C&amp;Cの通信経路</t>
    <rPh sb="4" eb="8">
      <t>ツウシンケイロ</t>
    </rPh>
    <phoneticPr fontId="1"/>
  </si>
  <si>
    <t>自己拡散</t>
    <rPh sb="0" eb="4">
      <t>ジコカクサン</t>
    </rPh>
    <phoneticPr fontId="1"/>
  </si>
  <si>
    <t>秘密情報の送信</t>
    <rPh sb="0" eb="4">
      <t>ヒミツジョウホウ</t>
    </rPh>
    <rPh sb="5" eb="7">
      <t>ソウシン</t>
    </rPh>
    <phoneticPr fontId="1"/>
  </si>
  <si>
    <t>IPを特定すれば遮断</t>
    <rPh sb="3" eb="5">
      <t>トクテイ</t>
    </rPh>
    <rPh sb="8" eb="10">
      <t>シャダン</t>
    </rPh>
    <phoneticPr fontId="1"/>
  </si>
  <si>
    <t>FastFluix</t>
    <phoneticPr fontId="1"/>
  </si>
  <si>
    <t>だ実０のNR</t>
    <rPh sb="1" eb="2">
      <t>ミ</t>
    </rPh>
    <phoneticPr fontId="1"/>
  </si>
  <si>
    <t>ijefgh</t>
    <phoneticPr fontId="1"/>
  </si>
  <si>
    <t>アクセス先のホストをランダムに変更する</t>
    <rPh sb="4" eb="5">
      <t>サキ</t>
    </rPh>
    <rPh sb="15" eb="17">
      <t>ヘンコウ</t>
    </rPh>
    <phoneticPr fontId="1"/>
  </si>
  <si>
    <t>IPパケットの最大長は１５００</t>
    <rPh sb="7" eb="10">
      <t>サイダイチョウ</t>
    </rPh>
    <phoneticPr fontId="1"/>
  </si>
  <si>
    <t>FPさーばでの認証エラーが短時間に繰り返される</t>
    <rPh sb="7" eb="9">
      <t>ニンショウ</t>
    </rPh>
    <rPh sb="13" eb="16">
      <t>タンジカン</t>
    </rPh>
    <rPh sb="17" eb="18">
      <t>ク</t>
    </rPh>
    <rPh sb="19" eb="20">
      <t>カエ</t>
    </rPh>
    <phoneticPr fontId="1"/>
  </si>
  <si>
    <t>C&amp;CサーバのIPアドレスが取得できず、宛先が設定できないため</t>
    <rPh sb="14" eb="16">
      <t>シュトク</t>
    </rPh>
    <rPh sb="20" eb="22">
      <t>アテサキ</t>
    </rPh>
    <rPh sb="23" eb="25">
      <t>セッテイ</t>
    </rPh>
    <phoneticPr fontId="1"/>
  </si>
  <si>
    <t>Y社は産業機械</t>
    <rPh sb="1" eb="2">
      <t>シャ</t>
    </rPh>
    <rPh sb="3" eb="7">
      <t>サンギョウキカイ</t>
    </rPh>
    <phoneticPr fontId="1"/>
  </si>
  <si>
    <t>複数営業所</t>
    <rPh sb="0" eb="5">
      <t>フクスウエイギョウショ</t>
    </rPh>
    <phoneticPr fontId="1"/>
  </si>
  <si>
    <t>製品の管理</t>
    <rPh sb="0" eb="2">
      <t>セイヒン</t>
    </rPh>
    <rPh sb="3" eb="5">
      <t>カンリ</t>
    </rPh>
    <phoneticPr fontId="1"/>
  </si>
  <si>
    <t>前者ネットワーク</t>
    <rPh sb="0" eb="2">
      <t>ゼンシャ</t>
    </rPh>
    <phoneticPr fontId="1"/>
  </si>
  <si>
    <t>SVなどのメンテは管理PCで</t>
    <rPh sb="9" eb="11">
      <t>カンリ</t>
    </rPh>
    <phoneticPr fontId="1"/>
  </si>
  <si>
    <t>FSVなどが存在</t>
    <rPh sb="6" eb="8">
      <t>ソンザイ</t>
    </rPh>
    <phoneticPr fontId="1"/>
  </si>
  <si>
    <t>せきゅりてぃ対策</t>
    <rPh sb="6" eb="8">
      <t>タイサク</t>
    </rPh>
    <phoneticPr fontId="1"/>
  </si>
  <si>
    <t>眼０瑠の対策</t>
    <rPh sb="0" eb="1">
      <t>メ</t>
    </rPh>
    <rPh sb="2" eb="3">
      <t>ル</t>
    </rPh>
    <rPh sb="4" eb="6">
      <t>タイサク</t>
    </rPh>
    <phoneticPr fontId="1"/>
  </si>
  <si>
    <t>SPF</t>
    <phoneticPr fontId="1"/>
  </si>
  <si>
    <t>標的型メール攻撃対策</t>
    <rPh sb="0" eb="3">
      <t>ヒョウテキガタ</t>
    </rPh>
    <rPh sb="6" eb="8">
      <t>コウゲキ</t>
    </rPh>
    <rPh sb="8" eb="10">
      <t>タイサク</t>
    </rPh>
    <phoneticPr fontId="1"/>
  </si>
  <si>
    <t>LANのMW活動を抑える</t>
    <rPh sb="6" eb="8">
      <t>カツドウ</t>
    </rPh>
    <rPh sb="9" eb="10">
      <t>オサ</t>
    </rPh>
    <phoneticPr fontId="1"/>
  </si>
  <si>
    <t>コンテンツフィルタ</t>
    <phoneticPr fontId="1"/>
  </si>
  <si>
    <t>L3SWにパケットフィルタ</t>
    <phoneticPr fontId="1"/>
  </si>
  <si>
    <t>プロキシサーバのSSLセッションが解説</t>
    <rPh sb="17" eb="19">
      <t>カイセツ</t>
    </rPh>
    <phoneticPr fontId="1"/>
  </si>
  <si>
    <t>PCと接続サーバ</t>
    <rPh sb="3" eb="5">
      <t>セツゾク</t>
    </rPh>
    <phoneticPr fontId="1"/>
  </si>
  <si>
    <t>共通鍵を復号化できないため</t>
    <rPh sb="0" eb="3">
      <t>キョウツウカギ</t>
    </rPh>
    <rPh sb="4" eb="7">
      <t>フクゴウカ</t>
    </rPh>
    <phoneticPr fontId="1"/>
  </si>
  <si>
    <t>パケットフィルタリングの検討</t>
    <rPh sb="12" eb="14">
      <t>ケントウ</t>
    </rPh>
    <phoneticPr fontId="1"/>
  </si>
  <si>
    <t>本社メールサーバー</t>
    <rPh sb="0" eb="2">
      <t>ホンシャ</t>
    </rPh>
    <phoneticPr fontId="1"/>
  </si>
  <si>
    <t>P3,IN</t>
    <phoneticPr fontId="1"/>
  </si>
  <si>
    <t>本社サーバセグメントへの疎通テストのため</t>
    <rPh sb="0" eb="2">
      <t>ホンシャ</t>
    </rPh>
    <rPh sb="12" eb="14">
      <t>ソツウ</t>
    </rPh>
    <phoneticPr fontId="1"/>
  </si>
  <si>
    <t>業務セグメントから管理セグメントへの疎通確立はできないが、管理セグメントから業務セグメントへ確立することは出来る</t>
    <rPh sb="0" eb="2">
      <t>ギョウム</t>
    </rPh>
    <rPh sb="9" eb="11">
      <t>カンリ</t>
    </rPh>
    <rPh sb="18" eb="20">
      <t>ソツウ</t>
    </rPh>
    <rPh sb="20" eb="22">
      <t>カクリツ</t>
    </rPh>
    <rPh sb="29" eb="31">
      <t>カンリ</t>
    </rPh>
    <rPh sb="38" eb="40">
      <t>ギョウム</t>
    </rPh>
    <rPh sb="46" eb="48">
      <t>カクリツ</t>
    </rPh>
    <rPh sb="53" eb="55">
      <t>デキ</t>
    </rPh>
    <phoneticPr fontId="1"/>
  </si>
  <si>
    <t>通信内容</t>
    <rPh sb="0" eb="4">
      <t>ツウシンナイヨウ</t>
    </rPh>
    <phoneticPr fontId="1"/>
  </si>
  <si>
    <t>マルウェアの社内での活動を早期に発見できること</t>
    <rPh sb="6" eb="8">
      <t>シャナイ</t>
    </rPh>
    <rPh sb="10" eb="12">
      <t>カツドウ</t>
    </rPh>
    <rPh sb="13" eb="15">
      <t>ソウキ</t>
    </rPh>
    <rPh sb="16" eb="18">
      <t>ハッケン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</si>
</sst>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0" fillId="0" borderId="0" xfId="0" applyAlignment="1">
      <alignment horizontal="lef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5" sqref="H5"/>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13</v>
      </c>
      <c r="D2">
        <v>80</v>
      </c>
      <c r="E2">
        <v>100</v>
      </c>
    </row>
    <row r="3" spans="1:6">
      <c r="A3">
        <v>2</v>
      </c>
      <c r="B3" s="2" t="s">
        <v>12</v>
      </c>
      <c r="C3" s="2" t="s">
        <v>14</v>
      </c>
      <c r="D3">
        <v>65</v>
      </c>
      <c r="E3">
        <v>100</v>
      </c>
    </row>
    <row r="4" spans="1:6">
      <c r="A4">
        <v>3</v>
      </c>
      <c r="B4" s="2" t="s">
        <v>12</v>
      </c>
      <c r="C4" s="2" t="s">
        <v>15</v>
      </c>
      <c r="D4">
        <v>89</v>
      </c>
      <c r="E4">
        <v>100</v>
      </c>
    </row>
    <row r="5" spans="1:6">
      <c r="A5">
        <v>4</v>
      </c>
      <c r="B5" s="2" t="s">
        <v>12</v>
      </c>
      <c r="C5" s="2" t="s">
        <v>16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F22" sqref="F22"/>
    </sheetView>
  </sheetViews>
  <sheetFormatPr defaultRowHeight="18.75"/>
  <cols>
    <col min="1" max="3" width="4.875" style="2" customWidth="1"/>
    <col min="4" max="4" width="81.625" style="1" customWidth="1"/>
    <col min="5" max="7" width="5.5" customWidth="1"/>
  </cols>
  <sheetData>
    <row r="1" spans="1:8">
      <c r="A1" s="5" t="s">
        <v>0</v>
      </c>
      <c r="B1" s="5"/>
      <c r="C1" s="5"/>
      <c r="D1" s="1" t="s">
        <v>17</v>
      </c>
    </row>
    <row r="2" spans="1:8">
      <c r="A2" s="5" t="s">
        <v>2</v>
      </c>
      <c r="B2" s="5"/>
      <c r="C2" s="5"/>
      <c r="D2" s="3" t="s">
        <v>18</v>
      </c>
      <c r="F2">
        <f>SUM(F4:F1000)</f>
        <v>46</v>
      </c>
      <c r="G2">
        <f>SUM(G4:G1000)</f>
        <v>100</v>
      </c>
    </row>
    <row r="3" spans="1:8">
      <c r="A3" s="5" t="s">
        <v>1</v>
      </c>
      <c r="B3" s="5"/>
      <c r="C3" s="5"/>
      <c r="D3" s="1" t="s">
        <v>3</v>
      </c>
      <c r="E3" t="s">
        <v>6</v>
      </c>
      <c r="F3" t="s">
        <v>4</v>
      </c>
      <c r="G3" t="s">
        <v>5</v>
      </c>
    </row>
    <row r="4" spans="1:8">
      <c r="A4" s="2" t="s">
        <v>19</v>
      </c>
      <c r="C4" s="2" t="s">
        <v>20</v>
      </c>
      <c r="D4" s="1">
        <v>16</v>
      </c>
      <c r="E4">
        <f>IF(D4&lt;&gt;"",LEN(D4),"")</f>
        <v>2</v>
      </c>
      <c r="F4">
        <v>0</v>
      </c>
      <c r="G4">
        <v>2</v>
      </c>
      <c r="H4" t="s">
        <v>34</v>
      </c>
    </row>
    <row r="5" spans="1:8">
      <c r="C5" s="2" t="s">
        <v>22</v>
      </c>
      <c r="D5" s="1" t="s">
        <v>39</v>
      </c>
      <c r="E5">
        <f t="shared" ref="E5:E68" si="0">IF(D5&lt;&gt;"",LEN(D5),"")</f>
        <v>4</v>
      </c>
      <c r="F5">
        <v>2</v>
      </c>
      <c r="G5">
        <v>2</v>
      </c>
      <c r="H5" t="s">
        <v>35</v>
      </c>
    </row>
    <row r="6" spans="1:8">
      <c r="C6" s="2" t="s">
        <v>23</v>
      </c>
      <c r="D6" s="1" t="s">
        <v>40</v>
      </c>
      <c r="E6">
        <f t="shared" si="0"/>
        <v>6</v>
      </c>
      <c r="F6">
        <v>2</v>
      </c>
      <c r="G6">
        <v>2</v>
      </c>
      <c r="H6" t="s">
        <v>36</v>
      </c>
    </row>
    <row r="7" spans="1:8">
      <c r="C7" s="2" t="s">
        <v>24</v>
      </c>
      <c r="D7" s="1" t="s">
        <v>52</v>
      </c>
      <c r="E7">
        <f t="shared" si="0"/>
        <v>2</v>
      </c>
      <c r="F7">
        <v>0</v>
      </c>
      <c r="G7">
        <v>2</v>
      </c>
      <c r="H7" t="s">
        <v>37</v>
      </c>
    </row>
    <row r="8" spans="1:8">
      <c r="C8" s="2" t="s">
        <v>25</v>
      </c>
      <c r="D8" s="1" t="s">
        <v>53</v>
      </c>
      <c r="E8">
        <f t="shared" si="0"/>
        <v>3</v>
      </c>
      <c r="F8">
        <v>2</v>
      </c>
      <c r="G8">
        <v>2</v>
      </c>
      <c r="H8" t="s">
        <v>38</v>
      </c>
    </row>
    <row r="9" spans="1:8">
      <c r="A9" s="2" t="s">
        <v>26</v>
      </c>
      <c r="B9" s="2" t="s">
        <v>19</v>
      </c>
      <c r="D9" s="1" t="s">
        <v>46</v>
      </c>
      <c r="E9">
        <f t="shared" si="0"/>
        <v>3</v>
      </c>
      <c r="F9">
        <v>0</v>
      </c>
      <c r="G9">
        <v>4</v>
      </c>
      <c r="H9" t="s">
        <v>41</v>
      </c>
    </row>
    <row r="10" spans="1:8">
      <c r="B10" s="2" t="s">
        <v>26</v>
      </c>
      <c r="D10" s="1" t="s">
        <v>47</v>
      </c>
      <c r="E10">
        <f t="shared" si="0"/>
        <v>35</v>
      </c>
      <c r="F10">
        <v>8</v>
      </c>
      <c r="G10">
        <v>8</v>
      </c>
      <c r="H10" t="s">
        <v>42</v>
      </c>
    </row>
    <row r="11" spans="1:8">
      <c r="B11" s="2" t="s">
        <v>27</v>
      </c>
      <c r="D11" s="1" t="s">
        <v>49</v>
      </c>
      <c r="E11">
        <f t="shared" si="0"/>
        <v>35</v>
      </c>
      <c r="F11">
        <v>4</v>
      </c>
      <c r="G11">
        <v>8</v>
      </c>
      <c r="H11" t="s">
        <v>43</v>
      </c>
    </row>
    <row r="12" spans="1:8">
      <c r="A12" s="2" t="s">
        <v>27</v>
      </c>
      <c r="B12" s="2" t="s">
        <v>19</v>
      </c>
      <c r="C12" s="2" t="s">
        <v>28</v>
      </c>
      <c r="D12" s="1">
        <v>1052</v>
      </c>
      <c r="E12">
        <f t="shared" si="0"/>
        <v>4</v>
      </c>
      <c r="F12">
        <v>0</v>
      </c>
      <c r="G12">
        <v>5</v>
      </c>
      <c r="H12" t="s">
        <v>44</v>
      </c>
    </row>
    <row r="13" spans="1:8">
      <c r="C13" s="2" t="s">
        <v>21</v>
      </c>
      <c r="D13" s="1">
        <v>1050</v>
      </c>
      <c r="E13">
        <f t="shared" si="0"/>
        <v>4</v>
      </c>
      <c r="F13">
        <v>0</v>
      </c>
      <c r="G13">
        <v>5</v>
      </c>
      <c r="H13" t="s">
        <v>45</v>
      </c>
    </row>
    <row r="14" spans="1:8">
      <c r="B14" s="2" t="s">
        <v>26</v>
      </c>
      <c r="C14" s="2" t="s">
        <v>29</v>
      </c>
      <c r="D14" s="1" t="s">
        <v>55</v>
      </c>
      <c r="E14">
        <f t="shared" si="0"/>
        <v>7</v>
      </c>
      <c r="F14">
        <v>4</v>
      </c>
      <c r="G14">
        <v>4</v>
      </c>
      <c r="H14" t="s">
        <v>48</v>
      </c>
    </row>
    <row r="15" spans="1:8">
      <c r="C15" s="2" t="s">
        <v>30</v>
      </c>
      <c r="D15" s="1" t="s">
        <v>56</v>
      </c>
      <c r="E15">
        <f t="shared" si="0"/>
        <v>7</v>
      </c>
      <c r="F15">
        <v>4</v>
      </c>
      <c r="G15">
        <v>4</v>
      </c>
      <c r="H15" t="s">
        <v>50</v>
      </c>
    </row>
    <row r="16" spans="1:8">
      <c r="C16" s="2" t="s">
        <v>31</v>
      </c>
      <c r="D16" s="1" t="s">
        <v>57</v>
      </c>
      <c r="E16">
        <f t="shared" si="0"/>
        <v>13</v>
      </c>
      <c r="F16">
        <v>4</v>
      </c>
      <c r="G16">
        <v>4</v>
      </c>
      <c r="H16" t="s">
        <v>51</v>
      </c>
    </row>
    <row r="17" spans="1:8">
      <c r="C17" s="2" t="s">
        <v>32</v>
      </c>
      <c r="D17" s="1" t="s">
        <v>58</v>
      </c>
      <c r="E17">
        <f t="shared" si="0"/>
        <v>12</v>
      </c>
      <c r="F17">
        <v>4</v>
      </c>
      <c r="G17">
        <v>4</v>
      </c>
      <c r="H17" t="s">
        <v>54</v>
      </c>
    </row>
    <row r="18" spans="1:8">
      <c r="B18" s="2" t="s">
        <v>27</v>
      </c>
      <c r="C18" s="2" t="s">
        <v>19</v>
      </c>
      <c r="D18" s="1" t="s">
        <v>60</v>
      </c>
      <c r="E18">
        <f t="shared" si="0"/>
        <v>6</v>
      </c>
      <c r="F18">
        <v>0</v>
      </c>
      <c r="G18">
        <v>6</v>
      </c>
      <c r="H18" t="s">
        <v>59</v>
      </c>
    </row>
    <row r="19" spans="1:8">
      <c r="C19" s="2" t="s">
        <v>26</v>
      </c>
      <c r="D19" s="1" t="s">
        <v>61</v>
      </c>
      <c r="E19">
        <f t="shared" si="0"/>
        <v>6</v>
      </c>
      <c r="F19">
        <v>0</v>
      </c>
      <c r="G19">
        <v>6</v>
      </c>
    </row>
    <row r="20" spans="1:8" ht="37.5">
      <c r="B20" s="2" t="s">
        <v>33</v>
      </c>
      <c r="D20" s="1" t="s">
        <v>62</v>
      </c>
      <c r="E20">
        <f t="shared" si="0"/>
        <v>46</v>
      </c>
      <c r="F20">
        <v>0</v>
      </c>
      <c r="G20">
        <v>8</v>
      </c>
    </row>
    <row r="21" spans="1:8">
      <c r="A21" s="2" t="s">
        <v>33</v>
      </c>
      <c r="B21" s="2" t="s">
        <v>19</v>
      </c>
      <c r="D21" s="1" t="s">
        <v>63</v>
      </c>
      <c r="E21">
        <f t="shared" si="0"/>
        <v>19</v>
      </c>
      <c r="F21">
        <v>8</v>
      </c>
      <c r="G21">
        <v>8</v>
      </c>
    </row>
    <row r="22" spans="1:8">
      <c r="B22" s="2" t="s">
        <v>26</v>
      </c>
      <c r="D22" s="1" t="s">
        <v>64</v>
      </c>
      <c r="E22">
        <f t="shared" si="0"/>
        <v>32</v>
      </c>
      <c r="F22">
        <v>4</v>
      </c>
      <c r="G22">
        <v>8</v>
      </c>
    </row>
    <row r="23" spans="1:8">
      <c r="B23" s="2" t="s">
        <v>27</v>
      </c>
      <c r="D23" s="1" t="s">
        <v>65</v>
      </c>
      <c r="E23">
        <f t="shared" si="0"/>
        <v>14</v>
      </c>
      <c r="F23">
        <v>0</v>
      </c>
      <c r="G23">
        <v>8</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181-CDA7-42F2-8A64-E1ED7EFF9B62}">
  <sheetPr codeName="Sheet4"/>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D13" sqref="D13"/>
    </sheetView>
  </sheetViews>
  <sheetFormatPr defaultRowHeight="18.75"/>
  <cols>
    <col min="1" max="3" width="4.875" style="2" customWidth="1"/>
    <col min="4" max="4" width="81.625" style="1" customWidth="1"/>
    <col min="5" max="7" width="5.5" customWidth="1"/>
  </cols>
  <sheetData>
    <row r="1" spans="1:8">
      <c r="A1" s="5" t="s">
        <v>0</v>
      </c>
      <c r="B1" s="5"/>
      <c r="C1" s="5"/>
      <c r="D1" s="1" t="s">
        <v>17</v>
      </c>
    </row>
    <row r="2" spans="1:8">
      <c r="A2" s="5" t="s">
        <v>2</v>
      </c>
      <c r="B2" s="5"/>
      <c r="C2" s="5"/>
      <c r="D2" s="3" t="s">
        <v>66</v>
      </c>
      <c r="F2">
        <f>SUM(F4:F1000)</f>
        <v>69</v>
      </c>
      <c r="G2">
        <f>SUM(G4:G1000)</f>
        <v>100</v>
      </c>
    </row>
    <row r="3" spans="1:8">
      <c r="A3" s="5" t="s">
        <v>1</v>
      </c>
      <c r="B3" s="5"/>
      <c r="C3" s="5"/>
      <c r="D3" s="1" t="s">
        <v>3</v>
      </c>
      <c r="E3" t="s">
        <v>6</v>
      </c>
      <c r="F3" t="s">
        <v>4</v>
      </c>
      <c r="G3" t="s">
        <v>5</v>
      </c>
    </row>
    <row r="4" spans="1:8">
      <c r="A4" s="2" t="s">
        <v>19</v>
      </c>
      <c r="C4" s="2" t="s">
        <v>67</v>
      </c>
      <c r="D4" s="1" t="s">
        <v>87</v>
      </c>
      <c r="E4">
        <f>IF(D4&lt;&gt;"",LEN(D4),"")</f>
        <v>3</v>
      </c>
      <c r="F4">
        <v>0</v>
      </c>
      <c r="G4">
        <v>2</v>
      </c>
      <c r="H4" t="s">
        <v>76</v>
      </c>
    </row>
    <row r="5" spans="1:8">
      <c r="C5" s="2" t="s">
        <v>68</v>
      </c>
      <c r="D5" s="1" t="s">
        <v>88</v>
      </c>
      <c r="E5">
        <f t="shared" ref="E5:E68" si="0">IF(D5&lt;&gt;"",LEN(D5),"")</f>
        <v>4</v>
      </c>
      <c r="F5">
        <v>2</v>
      </c>
      <c r="G5">
        <v>2</v>
      </c>
      <c r="H5" t="s">
        <v>77</v>
      </c>
    </row>
    <row r="6" spans="1:8">
      <c r="C6" s="2" t="s">
        <v>69</v>
      </c>
      <c r="D6" s="1">
        <v>3</v>
      </c>
      <c r="E6">
        <f t="shared" si="0"/>
        <v>1</v>
      </c>
      <c r="F6">
        <v>2</v>
      </c>
      <c r="G6">
        <v>2</v>
      </c>
      <c r="H6" t="s">
        <v>78</v>
      </c>
    </row>
    <row r="7" spans="1:8">
      <c r="C7" s="2" t="s">
        <v>70</v>
      </c>
      <c r="D7" s="1" t="s">
        <v>96</v>
      </c>
      <c r="E7">
        <f t="shared" si="0"/>
        <v>6</v>
      </c>
      <c r="F7">
        <v>2</v>
      </c>
      <c r="G7">
        <v>2</v>
      </c>
      <c r="H7" t="s">
        <v>79</v>
      </c>
    </row>
    <row r="8" spans="1:8">
      <c r="C8" s="2" t="s">
        <v>71</v>
      </c>
      <c r="D8" s="1" t="s">
        <v>86</v>
      </c>
      <c r="E8">
        <f t="shared" si="0"/>
        <v>8</v>
      </c>
      <c r="F8">
        <v>2</v>
      </c>
      <c r="G8">
        <v>2</v>
      </c>
      <c r="H8" t="s">
        <v>80</v>
      </c>
    </row>
    <row r="9" spans="1:8">
      <c r="A9" s="2" t="s">
        <v>26</v>
      </c>
      <c r="C9" s="2" t="s">
        <v>20</v>
      </c>
      <c r="D9" s="1" t="s">
        <v>90</v>
      </c>
      <c r="E9">
        <f t="shared" si="0"/>
        <v>7</v>
      </c>
      <c r="F9">
        <v>2</v>
      </c>
      <c r="G9">
        <v>2</v>
      </c>
      <c r="H9" t="s">
        <v>81</v>
      </c>
    </row>
    <row r="10" spans="1:8">
      <c r="C10" s="2" t="s">
        <v>72</v>
      </c>
      <c r="D10" s="1" t="s">
        <v>91</v>
      </c>
      <c r="E10">
        <f t="shared" si="0"/>
        <v>5</v>
      </c>
      <c r="F10">
        <v>3</v>
      </c>
      <c r="G10">
        <v>3</v>
      </c>
      <c r="H10" t="s">
        <v>82</v>
      </c>
    </row>
    <row r="11" spans="1:8">
      <c r="A11" s="2" t="s">
        <v>27</v>
      </c>
      <c r="B11" s="2" t="s">
        <v>19</v>
      </c>
      <c r="D11" s="1" t="s">
        <v>94</v>
      </c>
      <c r="E11">
        <f t="shared" si="0"/>
        <v>35</v>
      </c>
      <c r="F11">
        <v>0</v>
      </c>
      <c r="G11">
        <v>6</v>
      </c>
      <c r="H11" t="s">
        <v>83</v>
      </c>
    </row>
    <row r="12" spans="1:8">
      <c r="B12" s="2" t="s">
        <v>26</v>
      </c>
      <c r="D12" s="1" t="s">
        <v>95</v>
      </c>
      <c r="E12">
        <f t="shared" si="0"/>
        <v>8</v>
      </c>
      <c r="F12">
        <v>6</v>
      </c>
      <c r="G12">
        <v>6</v>
      </c>
      <c r="H12" t="s">
        <v>84</v>
      </c>
    </row>
    <row r="13" spans="1:8">
      <c r="A13" s="2" t="s">
        <v>33</v>
      </c>
      <c r="B13" s="2" t="s">
        <v>19</v>
      </c>
      <c r="C13" s="2" t="s">
        <v>22</v>
      </c>
      <c r="D13" s="1" t="s">
        <v>92</v>
      </c>
      <c r="E13">
        <f t="shared" si="0"/>
        <v>5</v>
      </c>
      <c r="F13">
        <v>2</v>
      </c>
      <c r="G13">
        <v>2</v>
      </c>
      <c r="H13" t="s">
        <v>85</v>
      </c>
    </row>
    <row r="14" spans="1:8">
      <c r="C14" s="2" t="s">
        <v>23</v>
      </c>
      <c r="D14" s="1" t="s">
        <v>93</v>
      </c>
      <c r="E14">
        <f t="shared" si="0"/>
        <v>6</v>
      </c>
      <c r="F14">
        <v>0</v>
      </c>
      <c r="G14">
        <v>2</v>
      </c>
      <c r="H14" t="s">
        <v>86</v>
      </c>
    </row>
    <row r="15" spans="1:8">
      <c r="C15" s="2" t="s">
        <v>24</v>
      </c>
      <c r="D15" s="1">
        <v>1</v>
      </c>
      <c r="E15">
        <f t="shared" si="0"/>
        <v>1</v>
      </c>
      <c r="F15">
        <v>2</v>
      </c>
      <c r="G15">
        <v>2</v>
      </c>
      <c r="H15" t="s">
        <v>89</v>
      </c>
    </row>
    <row r="16" spans="1:8">
      <c r="B16" s="2" t="s">
        <v>26</v>
      </c>
      <c r="D16" s="1" t="s">
        <v>97</v>
      </c>
      <c r="E16">
        <f t="shared" si="0"/>
        <v>24</v>
      </c>
      <c r="F16">
        <v>6</v>
      </c>
      <c r="G16">
        <v>6</v>
      </c>
      <c r="H16" t="s">
        <v>98</v>
      </c>
    </row>
    <row r="17" spans="1:8">
      <c r="B17" s="2" t="s">
        <v>27</v>
      </c>
      <c r="D17" s="1" t="s">
        <v>99</v>
      </c>
      <c r="E17">
        <f t="shared" si="0"/>
        <v>32</v>
      </c>
      <c r="F17">
        <v>6</v>
      </c>
      <c r="G17">
        <v>6</v>
      </c>
      <c r="H17" t="s">
        <v>103</v>
      </c>
    </row>
    <row r="18" spans="1:8">
      <c r="B18" s="2" t="s">
        <v>33</v>
      </c>
      <c r="D18" s="1" t="s">
        <v>100</v>
      </c>
      <c r="E18">
        <f t="shared" si="0"/>
        <v>38</v>
      </c>
      <c r="F18">
        <v>6</v>
      </c>
      <c r="G18">
        <v>6</v>
      </c>
      <c r="H18" t="s">
        <v>104</v>
      </c>
    </row>
    <row r="19" spans="1:8">
      <c r="B19" s="2" t="s">
        <v>73</v>
      </c>
      <c r="C19" s="2" t="s">
        <v>25</v>
      </c>
      <c r="D19" s="1" t="s">
        <v>101</v>
      </c>
      <c r="E19">
        <f t="shared" si="0"/>
        <v>7</v>
      </c>
      <c r="F19">
        <v>3</v>
      </c>
      <c r="G19">
        <v>3</v>
      </c>
      <c r="H19" t="s">
        <v>108</v>
      </c>
    </row>
    <row r="20" spans="1:8">
      <c r="C20" s="2" t="s">
        <v>74</v>
      </c>
      <c r="D20" s="1" t="s">
        <v>102</v>
      </c>
      <c r="E20">
        <f t="shared" si="0"/>
        <v>3</v>
      </c>
      <c r="F20">
        <v>3</v>
      </c>
      <c r="G20">
        <v>3</v>
      </c>
      <c r="H20" t="s">
        <v>109</v>
      </c>
    </row>
    <row r="21" spans="1:8">
      <c r="A21" s="2" t="s">
        <v>73</v>
      </c>
      <c r="B21" s="2" t="s">
        <v>19</v>
      </c>
      <c r="D21" s="1" t="s">
        <v>106</v>
      </c>
      <c r="E21">
        <f t="shared" si="0"/>
        <v>16</v>
      </c>
      <c r="F21">
        <v>2</v>
      </c>
      <c r="G21">
        <v>6</v>
      </c>
    </row>
    <row r="22" spans="1:8">
      <c r="B22" s="2" t="s">
        <v>26</v>
      </c>
      <c r="D22" s="1" t="s">
        <v>105</v>
      </c>
      <c r="E22">
        <f t="shared" si="0"/>
        <v>11</v>
      </c>
      <c r="F22">
        <v>6</v>
      </c>
      <c r="G22">
        <v>6</v>
      </c>
    </row>
    <row r="23" spans="1:8">
      <c r="B23" s="2" t="s">
        <v>27</v>
      </c>
      <c r="D23" s="1" t="s">
        <v>107</v>
      </c>
      <c r="E23">
        <f t="shared" si="0"/>
        <v>35</v>
      </c>
      <c r="F23">
        <v>6</v>
      </c>
      <c r="G23">
        <v>6</v>
      </c>
    </row>
    <row r="24" spans="1:8">
      <c r="A24" s="2" t="s">
        <v>75</v>
      </c>
      <c r="B24" s="2" t="s">
        <v>19</v>
      </c>
      <c r="D24" s="1" t="s">
        <v>110</v>
      </c>
      <c r="E24">
        <f t="shared" si="0"/>
        <v>4</v>
      </c>
      <c r="F24">
        <v>4</v>
      </c>
      <c r="G24">
        <v>4</v>
      </c>
    </row>
    <row r="25" spans="1:8">
      <c r="B25" s="2" t="s">
        <v>26</v>
      </c>
      <c r="D25" s="1">
        <v>3</v>
      </c>
      <c r="E25">
        <f t="shared" si="0"/>
        <v>1</v>
      </c>
      <c r="F25">
        <v>4</v>
      </c>
      <c r="G25">
        <v>4</v>
      </c>
    </row>
    <row r="26" spans="1:8">
      <c r="B26" s="2" t="s">
        <v>27</v>
      </c>
      <c r="D26" s="1" t="s">
        <v>111</v>
      </c>
      <c r="E26">
        <f t="shared" si="0"/>
        <v>20</v>
      </c>
      <c r="F26">
        <v>0</v>
      </c>
      <c r="G26">
        <v>5</v>
      </c>
    </row>
    <row r="27" spans="1:8">
      <c r="B27" s="2" t="s">
        <v>33</v>
      </c>
      <c r="D27" s="1" t="s">
        <v>112</v>
      </c>
      <c r="E27">
        <f t="shared" si="0"/>
        <v>25</v>
      </c>
      <c r="F27">
        <v>0</v>
      </c>
      <c r="G27">
        <v>6</v>
      </c>
    </row>
    <row r="28" spans="1:8">
      <c r="B28" s="2" t="s">
        <v>73</v>
      </c>
      <c r="D28" s="1" t="s">
        <v>113</v>
      </c>
      <c r="E28">
        <f t="shared" si="0"/>
        <v>11</v>
      </c>
      <c r="F28">
        <v>0</v>
      </c>
      <c r="G28">
        <v>6</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FC60-66BF-4591-BC3C-46B8CC61FC66}">
  <sheetPr codeName="Sheet5"/>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4" sqref="F3:F4"/>
    </sheetView>
  </sheetViews>
  <sheetFormatPr defaultRowHeight="18.75"/>
  <cols>
    <col min="1" max="3" width="4.875" style="2" customWidth="1"/>
    <col min="4" max="4" width="81.625" style="1" customWidth="1"/>
    <col min="5" max="7" width="5.5" customWidth="1"/>
  </cols>
  <sheetData>
    <row r="1" spans="1:10">
      <c r="A1" s="5" t="s">
        <v>0</v>
      </c>
      <c r="B1" s="5"/>
      <c r="C1" s="5"/>
      <c r="D1" s="1" t="s">
        <v>17</v>
      </c>
    </row>
    <row r="2" spans="1:10">
      <c r="A2" s="5" t="s">
        <v>2</v>
      </c>
      <c r="B2" s="5"/>
      <c r="C2" s="5"/>
      <c r="D2" s="3" t="s">
        <v>114</v>
      </c>
      <c r="F2">
        <f>SUM(F4:F1000)</f>
        <v>38</v>
      </c>
      <c r="G2">
        <f>SUM(G4:G1000)</f>
        <v>50</v>
      </c>
    </row>
    <row r="3" spans="1:10">
      <c r="A3" s="5" t="s">
        <v>1</v>
      </c>
      <c r="B3" s="5"/>
      <c r="C3" s="5"/>
      <c r="D3" s="1" t="s">
        <v>3</v>
      </c>
      <c r="E3" t="s">
        <v>6</v>
      </c>
      <c r="F3" t="s">
        <v>4</v>
      </c>
      <c r="G3" t="s">
        <v>5</v>
      </c>
    </row>
    <row r="4" spans="1:10">
      <c r="A4" s="2" t="s">
        <v>19</v>
      </c>
      <c r="C4" s="2" t="s">
        <v>67</v>
      </c>
      <c r="D4" s="1" t="s">
        <v>121</v>
      </c>
      <c r="E4">
        <f>IF(D4&lt;&gt;"",LEN(D4),"")</f>
        <v>13</v>
      </c>
      <c r="F4">
        <v>5</v>
      </c>
      <c r="G4">
        <v>5</v>
      </c>
      <c r="H4" t="s">
        <v>34</v>
      </c>
      <c r="J4" t="s">
        <v>115</v>
      </c>
    </row>
    <row r="5" spans="1:10">
      <c r="C5" s="2" t="s">
        <v>68</v>
      </c>
      <c r="D5" s="1" t="s">
        <v>122</v>
      </c>
      <c r="E5">
        <f t="shared" ref="E5:E68" si="0">IF(D5&lt;&gt;"",LEN(D5),"")</f>
        <v>12</v>
      </c>
      <c r="F5">
        <v>5</v>
      </c>
      <c r="G5">
        <v>5</v>
      </c>
      <c r="H5" t="s">
        <v>35</v>
      </c>
      <c r="J5" t="s">
        <v>116</v>
      </c>
    </row>
    <row r="6" spans="1:10">
      <c r="A6" s="2" t="s">
        <v>26</v>
      </c>
      <c r="B6" s="2" t="s">
        <v>19</v>
      </c>
      <c r="D6" s="1" t="s">
        <v>127</v>
      </c>
      <c r="E6">
        <f t="shared" si="0"/>
        <v>25</v>
      </c>
      <c r="F6">
        <v>4</v>
      </c>
      <c r="G6">
        <v>8</v>
      </c>
      <c r="H6" t="s">
        <v>36</v>
      </c>
      <c r="J6" t="s">
        <v>117</v>
      </c>
    </row>
    <row r="7" spans="1:10">
      <c r="B7" s="2" t="s">
        <v>26</v>
      </c>
      <c r="D7" s="1" t="s">
        <v>128</v>
      </c>
      <c r="E7">
        <f t="shared" si="0"/>
        <v>20</v>
      </c>
      <c r="F7">
        <v>0</v>
      </c>
      <c r="G7">
        <v>8</v>
      </c>
      <c r="H7" t="s">
        <v>37</v>
      </c>
      <c r="J7" t="s">
        <v>118</v>
      </c>
    </row>
    <row r="8" spans="1:10">
      <c r="B8" s="2" t="s">
        <v>27</v>
      </c>
      <c r="C8" s="2" t="s">
        <v>67</v>
      </c>
      <c r="D8" s="1" t="s">
        <v>24</v>
      </c>
      <c r="E8">
        <f t="shared" si="0"/>
        <v>1</v>
      </c>
      <c r="F8">
        <v>6</v>
      </c>
      <c r="G8">
        <v>6</v>
      </c>
      <c r="H8" t="s">
        <v>38</v>
      </c>
      <c r="J8" t="s">
        <v>119</v>
      </c>
    </row>
    <row r="9" spans="1:10">
      <c r="C9" s="2" t="s">
        <v>68</v>
      </c>
      <c r="D9" s="1" t="s">
        <v>20</v>
      </c>
      <c r="E9">
        <f t="shared" si="0"/>
        <v>1</v>
      </c>
      <c r="F9">
        <v>6</v>
      </c>
      <c r="G9">
        <v>6</v>
      </c>
      <c r="H9" t="s">
        <v>41</v>
      </c>
      <c r="J9" t="s">
        <v>120</v>
      </c>
    </row>
    <row r="10" spans="1:10">
      <c r="C10" s="2" t="s">
        <v>69</v>
      </c>
      <c r="D10" s="1" t="s">
        <v>24</v>
      </c>
      <c r="E10">
        <f t="shared" si="0"/>
        <v>1</v>
      </c>
      <c r="F10">
        <v>6</v>
      </c>
      <c r="G10">
        <v>6</v>
      </c>
      <c r="H10" t="s">
        <v>42</v>
      </c>
    </row>
    <row r="11" spans="1:10">
      <c r="C11" s="2" t="s">
        <v>70</v>
      </c>
      <c r="D11" s="1" t="s">
        <v>25</v>
      </c>
      <c r="E11">
        <f t="shared" si="0"/>
        <v>1</v>
      </c>
      <c r="F11">
        <v>6</v>
      </c>
      <c r="G11">
        <v>6</v>
      </c>
      <c r="H11" t="s">
        <v>43</v>
      </c>
      <c r="J11" t="s">
        <v>123</v>
      </c>
    </row>
    <row r="12" spans="1:10">
      <c r="E12" t="str">
        <f t="shared" si="0"/>
        <v/>
      </c>
      <c r="H12" t="s">
        <v>44</v>
      </c>
      <c r="J12" t="s">
        <v>124</v>
      </c>
    </row>
    <row r="13" spans="1:10">
      <c r="E13" t="str">
        <f t="shared" si="0"/>
        <v/>
      </c>
      <c r="H13" t="s">
        <v>45</v>
      </c>
      <c r="J13" t="s">
        <v>125</v>
      </c>
    </row>
    <row r="14" spans="1:10">
      <c r="E14" t="str">
        <f t="shared" si="0"/>
        <v/>
      </c>
      <c r="H14" t="s">
        <v>48</v>
      </c>
      <c r="J14" t="s">
        <v>126</v>
      </c>
    </row>
    <row r="15" spans="1:10">
      <c r="E15" t="str">
        <f t="shared" si="0"/>
        <v/>
      </c>
      <c r="H15" t="s">
        <v>50</v>
      </c>
    </row>
    <row r="16" spans="1:10">
      <c r="E16" t="str">
        <f t="shared" si="0"/>
        <v/>
      </c>
      <c r="H16" t="s">
        <v>51</v>
      </c>
    </row>
    <row r="17" spans="5:8">
      <c r="E17" t="str">
        <f t="shared" si="0"/>
        <v/>
      </c>
      <c r="H17" t="s">
        <v>54</v>
      </c>
    </row>
    <row r="18" spans="5:8">
      <c r="E18" t="str">
        <f t="shared" si="0"/>
        <v/>
      </c>
      <c r="H18" t="s">
        <v>59</v>
      </c>
    </row>
    <row r="19" spans="5:8">
      <c r="E19" t="str">
        <f t="shared" si="0"/>
        <v/>
      </c>
    </row>
    <row r="20" spans="5:8">
      <c r="E20" t="str">
        <f t="shared" si="0"/>
        <v/>
      </c>
    </row>
    <row r="21" spans="5:8">
      <c r="E21" t="str">
        <f t="shared" si="0"/>
        <v/>
      </c>
    </row>
    <row r="22" spans="5:8">
      <c r="E22" t="str">
        <f t="shared" si="0"/>
        <v/>
      </c>
    </row>
    <row r="23" spans="5:8">
      <c r="E23" t="str">
        <f t="shared" si="0"/>
        <v/>
      </c>
    </row>
    <row r="24" spans="5:8">
      <c r="E24" t="str">
        <f t="shared" si="0"/>
        <v/>
      </c>
    </row>
    <row r="25" spans="5:8">
      <c r="E25" t="str">
        <f t="shared" si="0"/>
        <v/>
      </c>
    </row>
    <row r="26" spans="5:8">
      <c r="E26" t="str">
        <f t="shared" si="0"/>
        <v/>
      </c>
    </row>
    <row r="27" spans="5:8">
      <c r="E27" t="str">
        <f t="shared" si="0"/>
        <v/>
      </c>
    </row>
    <row r="28" spans="5:8">
      <c r="E28" t="str">
        <f t="shared" si="0"/>
        <v/>
      </c>
    </row>
    <row r="29" spans="5:8">
      <c r="E29" t="str">
        <f t="shared" si="0"/>
        <v/>
      </c>
    </row>
    <row r="30" spans="5:8">
      <c r="E30" t="str">
        <f t="shared" si="0"/>
        <v/>
      </c>
    </row>
    <row r="31" spans="5:8">
      <c r="E31" t="str">
        <f t="shared" si="0"/>
        <v/>
      </c>
    </row>
    <row r="32" spans="5: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220D-5F51-4B66-BD6A-D0B684068158}">
  <sheetPr codeName="Sheet6"/>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D24" sqref="D24"/>
    </sheetView>
  </sheetViews>
  <sheetFormatPr defaultRowHeight="18.75"/>
  <cols>
    <col min="1" max="3" width="4.875" style="2" customWidth="1"/>
    <col min="4" max="4" width="81.625" style="1" customWidth="1"/>
    <col min="5" max="7" width="5.5" customWidth="1"/>
  </cols>
  <sheetData>
    <row r="1" spans="1:10">
      <c r="A1" s="5" t="s">
        <v>0</v>
      </c>
      <c r="B1" s="5"/>
      <c r="C1" s="5"/>
      <c r="D1" s="1" t="s">
        <v>17</v>
      </c>
    </row>
    <row r="2" spans="1:10">
      <c r="A2" s="5" t="s">
        <v>2</v>
      </c>
      <c r="B2" s="5"/>
      <c r="C2" s="5"/>
      <c r="D2" s="3" t="s">
        <v>129</v>
      </c>
      <c r="F2">
        <f>SUM(F4:F1000)</f>
        <v>25</v>
      </c>
      <c r="G2">
        <f>SUM(G4:G1000)</f>
        <v>50</v>
      </c>
    </row>
    <row r="3" spans="1:10">
      <c r="A3" s="5" t="s">
        <v>1</v>
      </c>
      <c r="B3" s="5"/>
      <c r="C3" s="5"/>
      <c r="D3" s="1" t="s">
        <v>3</v>
      </c>
      <c r="E3" t="s">
        <v>6</v>
      </c>
      <c r="F3" t="s">
        <v>4</v>
      </c>
      <c r="G3" t="s">
        <v>5</v>
      </c>
    </row>
    <row r="4" spans="1:10">
      <c r="A4" s="2" t="s">
        <v>19</v>
      </c>
      <c r="C4" s="2" t="s">
        <v>20</v>
      </c>
      <c r="D4" s="1" t="s">
        <v>144</v>
      </c>
      <c r="E4">
        <f>IF(D4&lt;&gt;"",LEN(D4),"")</f>
        <v>5</v>
      </c>
      <c r="F4">
        <v>2</v>
      </c>
      <c r="G4">
        <v>2</v>
      </c>
      <c r="H4" t="s">
        <v>135</v>
      </c>
      <c r="J4" t="s">
        <v>155</v>
      </c>
    </row>
    <row r="5" spans="1:10">
      <c r="C5" s="2" t="s">
        <v>22</v>
      </c>
      <c r="D5" s="1" t="s">
        <v>145</v>
      </c>
      <c r="E5">
        <f t="shared" ref="E5:E23" si="0">IF(D5&lt;&gt;"",LEN(D5),"")</f>
        <v>6</v>
      </c>
      <c r="F5">
        <v>2</v>
      </c>
      <c r="G5">
        <v>2</v>
      </c>
      <c r="H5" t="s">
        <v>136</v>
      </c>
      <c r="J5" t="s">
        <v>157</v>
      </c>
    </row>
    <row r="6" spans="1:10">
      <c r="C6" s="2" t="s">
        <v>23</v>
      </c>
      <c r="D6" s="1" t="s">
        <v>146</v>
      </c>
      <c r="E6">
        <f t="shared" si="0"/>
        <v>12</v>
      </c>
      <c r="F6">
        <v>2</v>
      </c>
      <c r="G6">
        <v>2</v>
      </c>
      <c r="H6" t="s">
        <v>137</v>
      </c>
      <c r="J6" t="s">
        <v>160</v>
      </c>
    </row>
    <row r="7" spans="1:10">
      <c r="C7" s="2" t="s">
        <v>24</v>
      </c>
      <c r="D7" s="1" t="s">
        <v>147</v>
      </c>
      <c r="E7">
        <f t="shared" si="0"/>
        <v>12</v>
      </c>
      <c r="F7">
        <v>2</v>
      </c>
      <c r="G7">
        <v>2</v>
      </c>
      <c r="H7" t="s">
        <v>138</v>
      </c>
      <c r="J7" t="s">
        <v>161</v>
      </c>
    </row>
    <row r="8" spans="1:10">
      <c r="C8" s="2" t="s">
        <v>25</v>
      </c>
      <c r="D8" s="1" t="s">
        <v>148</v>
      </c>
      <c r="E8">
        <f t="shared" si="0"/>
        <v>6</v>
      </c>
      <c r="F8">
        <v>0</v>
      </c>
      <c r="G8">
        <v>2</v>
      </c>
      <c r="H8" t="s">
        <v>139</v>
      </c>
      <c r="J8" t="s">
        <v>164</v>
      </c>
    </row>
    <row r="9" spans="1:10">
      <c r="A9" s="2" t="s">
        <v>130</v>
      </c>
      <c r="B9" s="2" t="s">
        <v>19</v>
      </c>
      <c r="C9" s="2" t="s">
        <v>19</v>
      </c>
      <c r="D9" s="1" t="s">
        <v>149</v>
      </c>
      <c r="E9">
        <f t="shared" si="0"/>
        <v>3</v>
      </c>
      <c r="F9">
        <v>2</v>
      </c>
      <c r="G9">
        <v>2</v>
      </c>
      <c r="H9" t="s">
        <v>140</v>
      </c>
      <c r="J9" t="s">
        <v>165</v>
      </c>
    </row>
    <row r="10" spans="1:10">
      <c r="C10" s="2" t="s">
        <v>26</v>
      </c>
      <c r="D10" s="1" t="s">
        <v>150</v>
      </c>
      <c r="E10">
        <f t="shared" si="0"/>
        <v>2</v>
      </c>
      <c r="F10">
        <v>2</v>
      </c>
      <c r="G10">
        <v>2</v>
      </c>
      <c r="H10" t="s">
        <v>141</v>
      </c>
    </row>
    <row r="11" spans="1:10">
      <c r="C11" s="2" t="s">
        <v>131</v>
      </c>
      <c r="D11" s="1" t="s">
        <v>151</v>
      </c>
      <c r="E11">
        <f t="shared" si="0"/>
        <v>7</v>
      </c>
      <c r="F11">
        <v>2</v>
      </c>
      <c r="G11">
        <v>2</v>
      </c>
      <c r="H11" t="s">
        <v>142</v>
      </c>
    </row>
    <row r="12" spans="1:10">
      <c r="B12" s="2" t="s">
        <v>26</v>
      </c>
      <c r="D12" s="1" t="s">
        <v>152</v>
      </c>
      <c r="E12">
        <f t="shared" si="0"/>
        <v>22</v>
      </c>
      <c r="F12">
        <v>0</v>
      </c>
      <c r="G12">
        <v>5</v>
      </c>
      <c r="H12" t="s">
        <v>143</v>
      </c>
    </row>
    <row r="13" spans="1:10">
      <c r="B13" s="2" t="s">
        <v>27</v>
      </c>
      <c r="D13" s="1" t="s">
        <v>154</v>
      </c>
      <c r="E13">
        <f t="shared" si="0"/>
        <v>2</v>
      </c>
      <c r="F13">
        <v>0</v>
      </c>
      <c r="G13">
        <v>5</v>
      </c>
      <c r="H13" t="s">
        <v>153</v>
      </c>
    </row>
    <row r="14" spans="1:10">
      <c r="A14" s="2" t="s">
        <v>27</v>
      </c>
      <c r="C14" s="2" t="s">
        <v>74</v>
      </c>
      <c r="D14" s="1" t="s">
        <v>158</v>
      </c>
      <c r="E14">
        <f t="shared" si="0"/>
        <v>5</v>
      </c>
      <c r="F14">
        <v>2</v>
      </c>
      <c r="G14">
        <v>2</v>
      </c>
      <c r="H14" t="s">
        <v>156</v>
      </c>
    </row>
    <row r="15" spans="1:10">
      <c r="C15" s="2" t="s">
        <v>132</v>
      </c>
      <c r="D15" s="1" t="s">
        <v>159</v>
      </c>
      <c r="E15">
        <f t="shared" si="0"/>
        <v>3</v>
      </c>
      <c r="F15">
        <v>2</v>
      </c>
      <c r="G15">
        <v>2</v>
      </c>
    </row>
    <row r="16" spans="1:10">
      <c r="C16" s="2" t="s">
        <v>133</v>
      </c>
      <c r="D16" s="1" t="s">
        <v>162</v>
      </c>
      <c r="E16">
        <f t="shared" si="0"/>
        <v>13</v>
      </c>
      <c r="F16">
        <v>2</v>
      </c>
      <c r="G16">
        <v>2</v>
      </c>
    </row>
    <row r="17" spans="1:7">
      <c r="C17" s="2" t="s">
        <v>134</v>
      </c>
      <c r="D17" s="1" t="s">
        <v>163</v>
      </c>
      <c r="E17">
        <f t="shared" si="0"/>
        <v>10</v>
      </c>
      <c r="F17">
        <v>2</v>
      </c>
      <c r="G17">
        <v>2</v>
      </c>
    </row>
    <row r="18" spans="1:7">
      <c r="A18" s="2" t="s">
        <v>33</v>
      </c>
      <c r="B18" s="2" t="s">
        <v>19</v>
      </c>
      <c r="D18" s="1">
        <v>6</v>
      </c>
      <c r="E18">
        <f t="shared" si="0"/>
        <v>1</v>
      </c>
      <c r="F18">
        <v>0</v>
      </c>
      <c r="G18">
        <v>5</v>
      </c>
    </row>
    <row r="19" spans="1:7">
      <c r="B19" s="2" t="s">
        <v>26</v>
      </c>
      <c r="D19" s="1" t="s">
        <v>166</v>
      </c>
      <c r="E19">
        <f t="shared" si="0"/>
        <v>38</v>
      </c>
      <c r="F19">
        <v>3</v>
      </c>
      <c r="G19">
        <v>6</v>
      </c>
    </row>
    <row r="20" spans="1:7">
      <c r="B20" s="2" t="s">
        <v>27</v>
      </c>
      <c r="D20" s="1">
        <v>6</v>
      </c>
      <c r="E20">
        <f t="shared" si="0"/>
        <v>1</v>
      </c>
      <c r="F20">
        <v>0</v>
      </c>
      <c r="G20">
        <v>5</v>
      </c>
    </row>
    <row r="21" spans="1:7">
      <c r="E21" t="str">
        <f t="shared" si="0"/>
        <v/>
      </c>
    </row>
    <row r="22" spans="1:7">
      <c r="E22" t="str">
        <f t="shared" si="0"/>
        <v/>
      </c>
    </row>
    <row r="23" spans="1:7">
      <c r="D23" s="1" t="s">
        <v>167</v>
      </c>
      <c r="E23">
        <f t="shared" si="0"/>
        <v>24</v>
      </c>
    </row>
    <row r="24" spans="1:7">
      <c r="E24" t="str">
        <f t="shared" ref="E24:E68" si="1">IF(D24&lt;&gt;"",LEN(D24),"")</f>
        <v/>
      </c>
    </row>
    <row r="25" spans="1:7">
      <c r="E25" t="str">
        <f t="shared" si="1"/>
        <v/>
      </c>
    </row>
    <row r="26" spans="1:7">
      <c r="E26" t="str">
        <f t="shared" si="1"/>
        <v/>
      </c>
    </row>
    <row r="27" spans="1:7">
      <c r="E27" t="str">
        <f t="shared" si="1"/>
        <v/>
      </c>
    </row>
    <row r="28" spans="1:7">
      <c r="E28" t="str">
        <f t="shared" si="1"/>
        <v/>
      </c>
    </row>
    <row r="29" spans="1:7">
      <c r="E29" t="str">
        <f t="shared" si="1"/>
        <v/>
      </c>
    </row>
    <row r="30" spans="1:7">
      <c r="E30" t="str">
        <f t="shared" si="1"/>
        <v/>
      </c>
    </row>
    <row r="31" spans="1:7">
      <c r="E31" t="str">
        <f t="shared" si="1"/>
        <v/>
      </c>
    </row>
    <row r="32" spans="1:7">
      <c r="E32" t="str">
        <f t="shared" si="1"/>
        <v/>
      </c>
    </row>
    <row r="33" spans="5:5">
      <c r="E33" t="str">
        <f t="shared" si="1"/>
        <v/>
      </c>
    </row>
    <row r="34" spans="5:5">
      <c r="E34" t="str">
        <f t="shared" si="1"/>
        <v/>
      </c>
    </row>
    <row r="35" spans="5:5">
      <c r="E35" t="str">
        <f t="shared" si="1"/>
        <v/>
      </c>
    </row>
    <row r="36" spans="5:5">
      <c r="E36" t="str">
        <f t="shared" si="1"/>
        <v/>
      </c>
    </row>
    <row r="37" spans="5:5">
      <c r="E37" t="str">
        <f t="shared" si="1"/>
        <v/>
      </c>
    </row>
    <row r="38" spans="5:5">
      <c r="E38" t="str">
        <f t="shared" si="1"/>
        <v/>
      </c>
    </row>
    <row r="39" spans="5:5">
      <c r="E39" t="str">
        <f t="shared" si="1"/>
        <v/>
      </c>
    </row>
    <row r="40" spans="5:5">
      <c r="E40" t="str">
        <f t="shared" si="1"/>
        <v/>
      </c>
    </row>
    <row r="41" spans="5:5">
      <c r="E41" t="str">
        <f t="shared" si="1"/>
        <v/>
      </c>
    </row>
    <row r="42" spans="5:5">
      <c r="E42" t="str">
        <f t="shared" si="1"/>
        <v/>
      </c>
    </row>
    <row r="43" spans="5:5">
      <c r="E43" t="str">
        <f t="shared" si="1"/>
        <v/>
      </c>
    </row>
    <row r="44" spans="5:5">
      <c r="E44" t="str">
        <f t="shared" si="1"/>
        <v/>
      </c>
    </row>
    <row r="45" spans="5:5">
      <c r="E45" t="str">
        <f t="shared" si="1"/>
        <v/>
      </c>
    </row>
    <row r="46" spans="5:5">
      <c r="E46" t="str">
        <f t="shared" si="1"/>
        <v/>
      </c>
    </row>
    <row r="47" spans="5:5">
      <c r="E47" t="str">
        <f t="shared" si="1"/>
        <v/>
      </c>
    </row>
    <row r="48" spans="5:5">
      <c r="E48" t="str">
        <f t="shared" si="1"/>
        <v/>
      </c>
    </row>
    <row r="49" spans="5:5">
      <c r="E49" t="str">
        <f t="shared" si="1"/>
        <v/>
      </c>
    </row>
    <row r="50" spans="5:5">
      <c r="E50" t="str">
        <f t="shared" si="1"/>
        <v/>
      </c>
    </row>
    <row r="51" spans="5:5">
      <c r="E51" t="str">
        <f t="shared" si="1"/>
        <v/>
      </c>
    </row>
    <row r="52" spans="5:5">
      <c r="E52" t="str">
        <f t="shared" si="1"/>
        <v/>
      </c>
    </row>
    <row r="53" spans="5:5">
      <c r="E53" t="str">
        <f t="shared" si="1"/>
        <v/>
      </c>
    </row>
    <row r="54" spans="5:5">
      <c r="E54" t="str">
        <f t="shared" si="1"/>
        <v/>
      </c>
    </row>
    <row r="55" spans="5:5">
      <c r="E55" t="str">
        <f t="shared" si="1"/>
        <v/>
      </c>
    </row>
    <row r="56" spans="5:5">
      <c r="E56" t="str">
        <f t="shared" si="1"/>
        <v/>
      </c>
    </row>
    <row r="57" spans="5:5">
      <c r="E57" t="str">
        <f t="shared" si="1"/>
        <v/>
      </c>
    </row>
    <row r="58" spans="5:5">
      <c r="E58" t="str">
        <f t="shared" si="1"/>
        <v/>
      </c>
    </row>
    <row r="59" spans="5:5">
      <c r="E59" t="str">
        <f t="shared" si="1"/>
        <v/>
      </c>
    </row>
    <row r="60" spans="5:5">
      <c r="E60" t="str">
        <f t="shared" si="1"/>
        <v/>
      </c>
    </row>
    <row r="61" spans="5:5">
      <c r="E61" t="str">
        <f t="shared" si="1"/>
        <v/>
      </c>
    </row>
    <row r="62" spans="5:5">
      <c r="E62" t="str">
        <f t="shared" si="1"/>
        <v/>
      </c>
    </row>
    <row r="63" spans="5:5">
      <c r="E63" t="str">
        <f t="shared" si="1"/>
        <v/>
      </c>
    </row>
    <row r="64" spans="5:5">
      <c r="E64" t="str">
        <f t="shared" si="1"/>
        <v/>
      </c>
    </row>
    <row r="65" spans="5:5">
      <c r="E65" t="str">
        <f t="shared" si="1"/>
        <v/>
      </c>
    </row>
    <row r="66" spans="5:5">
      <c r="E66" t="str">
        <f t="shared" si="1"/>
        <v/>
      </c>
    </row>
    <row r="67" spans="5:5">
      <c r="E67" t="str">
        <f t="shared" si="1"/>
        <v/>
      </c>
    </row>
    <row r="68" spans="5:5">
      <c r="E68" t="str">
        <f t="shared" si="1"/>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808FE-77D8-415E-B562-9EF6308EDB5C}">
  <sheetPr codeName="Sheet7"/>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21" sqref="F21"/>
    </sheetView>
  </sheetViews>
  <sheetFormatPr defaultRowHeight="18.75"/>
  <cols>
    <col min="1" max="3" width="4.875" style="2" customWidth="1"/>
    <col min="4" max="4" width="81.625" style="1" customWidth="1"/>
    <col min="5" max="7" width="5.5" customWidth="1"/>
  </cols>
  <sheetData>
    <row r="1" spans="1:10">
      <c r="A1" s="5" t="s">
        <v>0</v>
      </c>
      <c r="B1" s="5"/>
      <c r="C1" s="5"/>
      <c r="D1" s="1" t="s">
        <v>17</v>
      </c>
    </row>
    <row r="2" spans="1:10">
      <c r="A2" s="5" t="s">
        <v>2</v>
      </c>
      <c r="B2" s="5"/>
      <c r="C2" s="5"/>
      <c r="D2" s="3" t="s">
        <v>168</v>
      </c>
      <c r="F2">
        <f>SUM(F4:F1000)</f>
        <v>42</v>
      </c>
      <c r="G2">
        <f>SUM(G4:G1000)</f>
        <v>50</v>
      </c>
    </row>
    <row r="3" spans="1:10">
      <c r="A3" s="5" t="s">
        <v>1</v>
      </c>
      <c r="B3" s="5"/>
      <c r="C3" s="5"/>
      <c r="D3" s="1" t="s">
        <v>3</v>
      </c>
      <c r="E3" t="s">
        <v>6</v>
      </c>
      <c r="F3" t="s">
        <v>4</v>
      </c>
      <c r="G3" t="s">
        <v>5</v>
      </c>
    </row>
    <row r="4" spans="1:10">
      <c r="A4" s="2" t="s">
        <v>19</v>
      </c>
      <c r="C4" s="2" t="s">
        <v>67</v>
      </c>
      <c r="D4" s="1" t="s">
        <v>180</v>
      </c>
      <c r="E4">
        <f>IF(D4&lt;&gt;"",LEN(D4),"")</f>
        <v>12</v>
      </c>
      <c r="F4">
        <v>2</v>
      </c>
      <c r="G4">
        <v>2</v>
      </c>
      <c r="H4" t="s">
        <v>171</v>
      </c>
      <c r="J4" t="s">
        <v>187</v>
      </c>
    </row>
    <row r="5" spans="1:10">
      <c r="C5" s="2" t="s">
        <v>68</v>
      </c>
      <c r="D5" s="1" t="s">
        <v>181</v>
      </c>
      <c r="E5">
        <f t="shared" ref="E5:E68" si="0">IF(D5&lt;&gt;"",LEN(D5),"")</f>
        <v>6</v>
      </c>
      <c r="F5">
        <v>2</v>
      </c>
      <c r="G5">
        <v>2</v>
      </c>
      <c r="H5" t="s">
        <v>172</v>
      </c>
      <c r="J5" t="s">
        <v>194</v>
      </c>
    </row>
    <row r="6" spans="1:10">
      <c r="A6" s="2" t="s">
        <v>26</v>
      </c>
      <c r="B6" s="2" t="s">
        <v>19</v>
      </c>
      <c r="D6" s="1" t="s">
        <v>186</v>
      </c>
      <c r="E6">
        <f t="shared" si="0"/>
        <v>14</v>
      </c>
      <c r="F6">
        <v>5</v>
      </c>
      <c r="G6">
        <v>5</v>
      </c>
      <c r="H6" t="s">
        <v>173</v>
      </c>
      <c r="J6" t="s">
        <v>201</v>
      </c>
    </row>
    <row r="7" spans="1:10">
      <c r="B7" s="2" t="s">
        <v>26</v>
      </c>
      <c r="D7" s="1" t="s">
        <v>188</v>
      </c>
      <c r="E7">
        <f t="shared" si="0"/>
        <v>14</v>
      </c>
      <c r="F7">
        <v>5</v>
      </c>
      <c r="G7">
        <v>5</v>
      </c>
      <c r="H7" t="s">
        <v>174</v>
      </c>
      <c r="J7" t="s">
        <v>203</v>
      </c>
    </row>
    <row r="8" spans="1:10">
      <c r="B8" s="2" t="s">
        <v>27</v>
      </c>
      <c r="D8" s="1" t="s">
        <v>189</v>
      </c>
      <c r="E8">
        <f t="shared" si="0"/>
        <v>28</v>
      </c>
      <c r="F8">
        <v>0</v>
      </c>
      <c r="G8">
        <v>5</v>
      </c>
      <c r="H8" t="s">
        <v>175</v>
      </c>
    </row>
    <row r="9" spans="1:10">
      <c r="A9" s="2" t="s">
        <v>27</v>
      </c>
      <c r="B9" s="2" t="s">
        <v>19</v>
      </c>
      <c r="C9" s="2" t="s">
        <v>67</v>
      </c>
      <c r="D9" s="1" t="s">
        <v>191</v>
      </c>
      <c r="E9">
        <f t="shared" si="0"/>
        <v>5</v>
      </c>
      <c r="F9">
        <v>2</v>
      </c>
      <c r="G9">
        <v>2</v>
      </c>
      <c r="H9" t="s">
        <v>176</v>
      </c>
    </row>
    <row r="10" spans="1:10">
      <c r="C10" s="2" t="s">
        <v>68</v>
      </c>
      <c r="D10" s="1" t="s">
        <v>192</v>
      </c>
      <c r="E10">
        <f t="shared" si="0"/>
        <v>6</v>
      </c>
      <c r="F10">
        <v>2</v>
      </c>
      <c r="G10">
        <v>2</v>
      </c>
      <c r="H10" t="s">
        <v>177</v>
      </c>
    </row>
    <row r="11" spans="1:10">
      <c r="B11" s="2" t="s">
        <v>26</v>
      </c>
      <c r="D11" s="1" t="s">
        <v>193</v>
      </c>
      <c r="E11">
        <f t="shared" si="0"/>
        <v>22</v>
      </c>
      <c r="F11">
        <v>5</v>
      </c>
      <c r="G11">
        <v>5</v>
      </c>
      <c r="H11" t="s">
        <v>178</v>
      </c>
    </row>
    <row r="12" spans="1:10">
      <c r="B12" s="2" t="s">
        <v>27</v>
      </c>
      <c r="C12" s="2" t="s">
        <v>67</v>
      </c>
      <c r="D12" s="1" t="s">
        <v>196</v>
      </c>
      <c r="E12">
        <f t="shared" si="0"/>
        <v>2</v>
      </c>
      <c r="F12">
        <v>1</v>
      </c>
      <c r="G12">
        <v>1</v>
      </c>
      <c r="H12" t="s">
        <v>179</v>
      </c>
    </row>
    <row r="13" spans="1:10">
      <c r="C13" s="2" t="s">
        <v>68</v>
      </c>
      <c r="D13" s="1" t="s">
        <v>195</v>
      </c>
      <c r="E13">
        <f t="shared" si="0"/>
        <v>14</v>
      </c>
      <c r="F13">
        <v>1</v>
      </c>
      <c r="G13">
        <v>1</v>
      </c>
      <c r="H13" t="s">
        <v>182</v>
      </c>
    </row>
    <row r="14" spans="1:10">
      <c r="C14" s="2" t="s">
        <v>69</v>
      </c>
      <c r="D14" s="1" t="s">
        <v>197</v>
      </c>
      <c r="E14">
        <f t="shared" si="0"/>
        <v>15</v>
      </c>
      <c r="F14">
        <v>1</v>
      </c>
      <c r="G14">
        <v>1</v>
      </c>
      <c r="H14" t="s">
        <v>183</v>
      </c>
    </row>
    <row r="15" spans="1:10">
      <c r="C15" s="2" t="s">
        <v>70</v>
      </c>
      <c r="D15" s="1" t="s">
        <v>198</v>
      </c>
      <c r="E15">
        <f t="shared" si="0"/>
        <v>3</v>
      </c>
      <c r="F15">
        <v>0</v>
      </c>
      <c r="G15">
        <v>1</v>
      </c>
      <c r="H15" t="s">
        <v>184</v>
      </c>
    </row>
    <row r="16" spans="1:10">
      <c r="C16" s="2" t="s">
        <v>71</v>
      </c>
      <c r="D16" s="1" t="s">
        <v>102</v>
      </c>
      <c r="E16">
        <f t="shared" si="0"/>
        <v>3</v>
      </c>
      <c r="F16">
        <v>1</v>
      </c>
      <c r="G16">
        <v>1</v>
      </c>
      <c r="H16" t="s">
        <v>185</v>
      </c>
    </row>
    <row r="17" spans="1:8">
      <c r="C17" s="2" t="s">
        <v>169</v>
      </c>
      <c r="D17" s="1">
        <v>53</v>
      </c>
      <c r="E17">
        <f t="shared" si="0"/>
        <v>2</v>
      </c>
      <c r="F17">
        <v>0</v>
      </c>
      <c r="G17">
        <v>1</v>
      </c>
      <c r="H17" t="s">
        <v>190</v>
      </c>
    </row>
    <row r="18" spans="1:8">
      <c r="C18" s="2" t="s">
        <v>170</v>
      </c>
      <c r="D18" s="1" t="s">
        <v>199</v>
      </c>
      <c r="E18">
        <f t="shared" si="0"/>
        <v>17</v>
      </c>
      <c r="F18">
        <v>0</v>
      </c>
      <c r="G18">
        <v>1</v>
      </c>
    </row>
    <row r="19" spans="1:8" ht="37.5">
      <c r="B19" s="2" t="s">
        <v>33</v>
      </c>
      <c r="D19" s="1" t="s">
        <v>200</v>
      </c>
      <c r="E19">
        <f t="shared" si="0"/>
        <v>47</v>
      </c>
      <c r="F19">
        <v>5</v>
      </c>
      <c r="G19">
        <v>5</v>
      </c>
    </row>
    <row r="20" spans="1:8" ht="37.5">
      <c r="A20" s="2" t="s">
        <v>33</v>
      </c>
      <c r="B20" s="2" t="s">
        <v>19</v>
      </c>
      <c r="D20" s="1" t="s">
        <v>202</v>
      </c>
      <c r="E20">
        <f t="shared" ref="E20:E21" si="1">IF(D20&lt;&gt;"",LEN(D20),"")</f>
        <v>48</v>
      </c>
      <c r="F20">
        <v>5</v>
      </c>
      <c r="G20">
        <v>5</v>
      </c>
    </row>
    <row r="21" spans="1:8">
      <c r="B21" s="2" t="s">
        <v>26</v>
      </c>
      <c r="D21" s="1" t="s">
        <v>204</v>
      </c>
      <c r="E21">
        <f t="shared" si="1"/>
        <v>21</v>
      </c>
      <c r="F21">
        <v>5</v>
      </c>
      <c r="G21">
        <v>5</v>
      </c>
    </row>
    <row r="22" spans="1:8">
      <c r="E22" t="str">
        <f t="shared" si="0"/>
        <v/>
      </c>
    </row>
    <row r="23" spans="1:8">
      <c r="E23" t="str">
        <f t="shared" si="0"/>
        <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8B665-4E08-4B22-8BAB-BFC6FD1A2F22}">
  <sheetPr codeName="Sheet10"/>
  <dimension ref="A1:J167"/>
  <sheetViews>
    <sheetView tabSelected="1" zoomScale="85" zoomScaleNormal="85" workbookViewId="0">
      <pane xSplit="1" ySplit="3" topLeftCell="B4" activePane="bottomRight" state="frozen"/>
      <selection pane="topRight" activeCell="B1" sqref="B1"/>
      <selection pane="bottomLeft" activeCell="A4" sqref="A4"/>
      <selection pane="bottomRight" activeCell="I20" sqref="I20"/>
    </sheetView>
  </sheetViews>
  <sheetFormatPr defaultRowHeight="18.75"/>
  <cols>
    <col min="1" max="3" width="4.875" style="2" customWidth="1"/>
    <col min="4" max="4" width="81.625" style="1" customWidth="1"/>
    <col min="5" max="7" width="5.5" customWidth="1"/>
  </cols>
  <sheetData>
    <row r="1" spans="1:10">
      <c r="A1" s="5" t="s">
        <v>0</v>
      </c>
      <c r="B1" s="5"/>
      <c r="C1" s="5"/>
      <c r="D1" s="1" t="s">
        <v>17</v>
      </c>
    </row>
    <row r="2" spans="1:10">
      <c r="A2" s="5" t="s">
        <v>2</v>
      </c>
      <c r="B2" s="5"/>
      <c r="C2" s="5"/>
      <c r="D2" s="3" t="s">
        <v>168</v>
      </c>
      <c r="F2">
        <f>SUM(F4:F1000)</f>
        <v>47</v>
      </c>
      <c r="G2">
        <f>SUM(G4:G1000)</f>
        <v>50</v>
      </c>
    </row>
    <row r="3" spans="1:10">
      <c r="A3" s="5" t="s">
        <v>1</v>
      </c>
      <c r="B3" s="5"/>
      <c r="C3" s="5"/>
      <c r="D3" s="1" t="s">
        <v>3</v>
      </c>
      <c r="E3" t="s">
        <v>6</v>
      </c>
      <c r="F3" t="s">
        <v>4</v>
      </c>
      <c r="G3" t="s">
        <v>5</v>
      </c>
    </row>
    <row r="4" spans="1:10">
      <c r="A4" s="2" t="s">
        <v>19</v>
      </c>
      <c r="C4" s="2" t="s">
        <v>67</v>
      </c>
      <c r="D4" s="1" t="s">
        <v>285</v>
      </c>
      <c r="E4">
        <f>IF(D4&lt;&gt;"",LEN(D4),"")</f>
        <v>9</v>
      </c>
      <c r="F4">
        <v>2</v>
      </c>
      <c r="G4">
        <v>2</v>
      </c>
      <c r="H4" t="s">
        <v>274</v>
      </c>
      <c r="J4" t="s">
        <v>286</v>
      </c>
    </row>
    <row r="5" spans="1:10">
      <c r="C5" s="2" t="s">
        <v>68</v>
      </c>
      <c r="D5" s="1" t="s">
        <v>181</v>
      </c>
      <c r="E5">
        <f t="shared" ref="E5:E68" si="0">IF(D5&lt;&gt;"",LEN(D5),"")</f>
        <v>6</v>
      </c>
      <c r="F5">
        <v>2</v>
      </c>
      <c r="G5">
        <v>2</v>
      </c>
      <c r="H5" t="s">
        <v>275</v>
      </c>
      <c r="J5" t="s">
        <v>287</v>
      </c>
    </row>
    <row r="6" spans="1:10">
      <c r="A6" s="2" t="s">
        <v>26</v>
      </c>
      <c r="B6" s="2" t="s">
        <v>19</v>
      </c>
      <c r="D6" s="1" t="s">
        <v>288</v>
      </c>
      <c r="E6">
        <f t="shared" si="0"/>
        <v>8</v>
      </c>
      <c r="F6">
        <v>5</v>
      </c>
      <c r="G6">
        <v>5</v>
      </c>
      <c r="H6" t="s">
        <v>276</v>
      </c>
      <c r="J6" t="s">
        <v>290</v>
      </c>
    </row>
    <row r="7" spans="1:10">
      <c r="B7" s="2" t="s">
        <v>26</v>
      </c>
      <c r="D7" s="1" t="s">
        <v>188</v>
      </c>
      <c r="E7">
        <f t="shared" si="0"/>
        <v>14</v>
      </c>
      <c r="F7">
        <v>5</v>
      </c>
      <c r="G7">
        <v>5</v>
      </c>
      <c r="H7" t="s">
        <v>277</v>
      </c>
      <c r="J7" t="s">
        <v>291</v>
      </c>
    </row>
    <row r="8" spans="1:10">
      <c r="B8" s="2" t="s">
        <v>27</v>
      </c>
      <c r="D8" s="1" t="s">
        <v>289</v>
      </c>
      <c r="E8">
        <f t="shared" si="0"/>
        <v>13</v>
      </c>
      <c r="F8">
        <v>2</v>
      </c>
      <c r="G8">
        <v>5</v>
      </c>
      <c r="H8" t="s">
        <v>278</v>
      </c>
    </row>
    <row r="9" spans="1:10">
      <c r="A9" s="2" t="s">
        <v>27</v>
      </c>
      <c r="B9" s="2" t="s">
        <v>19</v>
      </c>
      <c r="C9" s="2" t="s">
        <v>67</v>
      </c>
      <c r="D9" s="1" t="s">
        <v>292</v>
      </c>
      <c r="E9">
        <f t="shared" si="0"/>
        <v>5</v>
      </c>
      <c r="F9">
        <v>2</v>
      </c>
      <c r="G9">
        <v>2</v>
      </c>
      <c r="H9" t="s">
        <v>279</v>
      </c>
    </row>
    <row r="10" spans="1:10">
      <c r="C10" s="2" t="s">
        <v>68</v>
      </c>
      <c r="D10" s="1" t="s">
        <v>192</v>
      </c>
      <c r="E10">
        <f t="shared" si="0"/>
        <v>6</v>
      </c>
      <c r="F10">
        <v>2</v>
      </c>
      <c r="G10">
        <v>2</v>
      </c>
      <c r="H10" t="s">
        <v>280</v>
      </c>
    </row>
    <row r="11" spans="1:10">
      <c r="B11" s="2" t="s">
        <v>26</v>
      </c>
      <c r="D11" s="1" t="s">
        <v>293</v>
      </c>
      <c r="E11">
        <f t="shared" si="0"/>
        <v>20</v>
      </c>
      <c r="F11">
        <v>5</v>
      </c>
      <c r="G11">
        <v>5</v>
      </c>
      <c r="H11" t="s">
        <v>281</v>
      </c>
    </row>
    <row r="12" spans="1:10">
      <c r="B12" s="2" t="s">
        <v>27</v>
      </c>
      <c r="C12" s="2" t="s">
        <v>67</v>
      </c>
      <c r="D12" s="1" t="s">
        <v>196</v>
      </c>
      <c r="E12">
        <f t="shared" si="0"/>
        <v>2</v>
      </c>
      <c r="F12">
        <v>1</v>
      </c>
      <c r="G12">
        <v>1</v>
      </c>
      <c r="H12" t="s">
        <v>282</v>
      </c>
    </row>
    <row r="13" spans="1:10">
      <c r="C13" s="2" t="s">
        <v>68</v>
      </c>
      <c r="D13" s="1" t="s">
        <v>195</v>
      </c>
      <c r="E13">
        <f t="shared" si="0"/>
        <v>14</v>
      </c>
      <c r="F13">
        <v>1</v>
      </c>
      <c r="G13">
        <v>1</v>
      </c>
      <c r="H13" t="s">
        <v>283</v>
      </c>
    </row>
    <row r="14" spans="1:10">
      <c r="C14" s="2" t="s">
        <v>69</v>
      </c>
      <c r="D14" s="1" t="s">
        <v>197</v>
      </c>
      <c r="E14">
        <f t="shared" si="0"/>
        <v>15</v>
      </c>
      <c r="F14">
        <v>1</v>
      </c>
      <c r="G14">
        <v>1</v>
      </c>
      <c r="H14" t="s">
        <v>284</v>
      </c>
    </row>
    <row r="15" spans="1:10">
      <c r="C15" s="2" t="s">
        <v>70</v>
      </c>
      <c r="D15" s="1" t="s">
        <v>198</v>
      </c>
      <c r="E15">
        <f t="shared" si="0"/>
        <v>3</v>
      </c>
      <c r="F15">
        <v>1</v>
      </c>
      <c r="G15">
        <v>1</v>
      </c>
    </row>
    <row r="16" spans="1:10">
      <c r="C16" s="2" t="s">
        <v>71</v>
      </c>
      <c r="D16" s="1" t="s">
        <v>102</v>
      </c>
      <c r="E16">
        <f t="shared" si="0"/>
        <v>3</v>
      </c>
      <c r="F16">
        <v>1</v>
      </c>
      <c r="G16">
        <v>1</v>
      </c>
    </row>
    <row r="17" spans="1:7">
      <c r="C17" s="2" t="s">
        <v>169</v>
      </c>
      <c r="D17" s="1">
        <v>53</v>
      </c>
      <c r="E17">
        <f t="shared" si="0"/>
        <v>2</v>
      </c>
      <c r="F17">
        <v>1</v>
      </c>
      <c r="G17">
        <v>1</v>
      </c>
    </row>
    <row r="18" spans="1:7">
      <c r="C18" s="2" t="s">
        <v>170</v>
      </c>
      <c r="D18" s="1" t="s">
        <v>102</v>
      </c>
      <c r="E18">
        <f t="shared" si="0"/>
        <v>3</v>
      </c>
      <c r="F18">
        <v>1</v>
      </c>
      <c r="G18">
        <v>1</v>
      </c>
    </row>
    <row r="19" spans="1:7" ht="37.5">
      <c r="B19" s="2" t="s">
        <v>33</v>
      </c>
      <c r="D19" s="1" t="s">
        <v>294</v>
      </c>
      <c r="E19">
        <f t="shared" si="0"/>
        <v>56</v>
      </c>
      <c r="F19">
        <v>5</v>
      </c>
      <c r="G19">
        <v>5</v>
      </c>
    </row>
    <row r="20" spans="1:7">
      <c r="A20" s="2" t="s">
        <v>33</v>
      </c>
      <c r="B20" s="2" t="s">
        <v>19</v>
      </c>
      <c r="D20" s="1" t="s">
        <v>295</v>
      </c>
      <c r="E20">
        <f t="shared" si="0"/>
        <v>4</v>
      </c>
      <c r="F20">
        <v>5</v>
      </c>
      <c r="G20">
        <v>5</v>
      </c>
    </row>
    <row r="21" spans="1:7">
      <c r="B21" s="2" t="s">
        <v>26</v>
      </c>
      <c r="D21" s="1" t="s">
        <v>296</v>
      </c>
      <c r="E21">
        <f t="shared" si="0"/>
        <v>23</v>
      </c>
      <c r="F21">
        <v>5</v>
      </c>
      <c r="G21">
        <v>5</v>
      </c>
    </row>
    <row r="22" spans="1:7">
      <c r="E22" t="str">
        <f t="shared" si="0"/>
        <v/>
      </c>
    </row>
    <row r="23" spans="1:7">
      <c r="E23" t="str">
        <f t="shared" si="0"/>
        <v/>
      </c>
    </row>
    <row r="24" spans="1:7">
      <c r="E24" t="str">
        <f t="shared" si="0"/>
        <v/>
      </c>
    </row>
    <row r="25" spans="1:7">
      <c r="E25" t="str">
        <f t="shared" si="0"/>
        <v/>
      </c>
    </row>
    <row r="26" spans="1:7">
      <c r="E26" t="str">
        <f t="shared" si="0"/>
        <v/>
      </c>
    </row>
    <row r="27" spans="1:7">
      <c r="E27" t="str">
        <f t="shared" si="0"/>
        <v/>
      </c>
    </row>
    <row r="28" spans="1:7">
      <c r="E28" t="str">
        <f t="shared" si="0"/>
        <v/>
      </c>
    </row>
    <row r="29" spans="1:7">
      <c r="E29" t="str">
        <f t="shared" si="0"/>
        <v/>
      </c>
    </row>
    <row r="30" spans="1:7">
      <c r="E30" t="str">
        <f t="shared" si="0"/>
        <v/>
      </c>
    </row>
    <row r="31" spans="1:7">
      <c r="E31" t="str">
        <f t="shared" si="0"/>
        <v/>
      </c>
    </row>
    <row r="32" spans="1: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8C57-72BB-4111-BBC7-A3E60C4D1FEC}">
  <sheetPr codeName="Sheet8"/>
  <dimension ref="A1:L167"/>
  <sheetViews>
    <sheetView zoomScale="85" zoomScaleNormal="85" workbookViewId="0">
      <pane xSplit="1" ySplit="3" topLeftCell="B4" activePane="bottomRight" state="frozen"/>
      <selection pane="topRight" activeCell="B1" sqref="B1"/>
      <selection pane="bottomLeft" activeCell="A4" sqref="A4"/>
      <selection pane="bottomRight" activeCell="F18" sqref="F18"/>
    </sheetView>
  </sheetViews>
  <sheetFormatPr defaultRowHeight="18.75"/>
  <cols>
    <col min="1" max="3" width="4.875" style="2" customWidth="1"/>
    <col min="4" max="4" width="81.625" style="1" customWidth="1"/>
    <col min="5" max="7" width="5.5" customWidth="1"/>
  </cols>
  <sheetData>
    <row r="1" spans="1:12">
      <c r="A1" s="5" t="s">
        <v>0</v>
      </c>
      <c r="B1" s="5"/>
      <c r="C1" s="5"/>
      <c r="D1" s="1" t="s">
        <v>17</v>
      </c>
    </row>
    <row r="2" spans="1:12">
      <c r="A2" s="5" t="s">
        <v>2</v>
      </c>
      <c r="B2" s="5"/>
      <c r="C2" s="5"/>
      <c r="D2" s="3" t="s">
        <v>18</v>
      </c>
      <c r="F2">
        <f>SUM(F4:F1000)</f>
        <v>68</v>
      </c>
      <c r="G2">
        <f>SUM(G4:G1000)</f>
        <v>100</v>
      </c>
    </row>
    <row r="3" spans="1:12">
      <c r="A3" s="5" t="s">
        <v>1</v>
      </c>
      <c r="B3" s="5"/>
      <c r="C3" s="5"/>
      <c r="D3" s="1" t="s">
        <v>3</v>
      </c>
      <c r="E3" t="s">
        <v>6</v>
      </c>
      <c r="F3" t="s">
        <v>4</v>
      </c>
      <c r="G3" t="s">
        <v>5</v>
      </c>
    </row>
    <row r="4" spans="1:12">
      <c r="A4" s="2" t="s">
        <v>19</v>
      </c>
      <c r="C4" s="2" t="s">
        <v>20</v>
      </c>
      <c r="D4" s="1">
        <v>12</v>
      </c>
      <c r="E4">
        <f>IF(D4&lt;&gt;"",LEN(D4),"")</f>
        <v>2</v>
      </c>
      <c r="F4">
        <v>0</v>
      </c>
      <c r="G4">
        <v>2</v>
      </c>
      <c r="H4" t="s">
        <v>205</v>
      </c>
      <c r="J4" t="s">
        <v>215</v>
      </c>
      <c r="L4" t="s">
        <v>224</v>
      </c>
    </row>
    <row r="5" spans="1:12">
      <c r="C5" s="2" t="s">
        <v>22</v>
      </c>
      <c r="D5" s="1" t="s">
        <v>39</v>
      </c>
      <c r="E5">
        <f t="shared" ref="E5:E68" si="0">IF(D5&lt;&gt;"",LEN(D5),"")</f>
        <v>4</v>
      </c>
      <c r="F5">
        <v>2</v>
      </c>
      <c r="G5">
        <v>2</v>
      </c>
      <c r="H5" t="s">
        <v>206</v>
      </c>
      <c r="J5" t="s">
        <v>216</v>
      </c>
      <c r="L5" t="s">
        <v>225</v>
      </c>
    </row>
    <row r="6" spans="1:12">
      <c r="C6" s="2" t="s">
        <v>23</v>
      </c>
      <c r="D6" s="1" t="s">
        <v>40</v>
      </c>
      <c r="E6">
        <f t="shared" si="0"/>
        <v>6</v>
      </c>
      <c r="F6">
        <v>2</v>
      </c>
      <c r="G6">
        <v>2</v>
      </c>
      <c r="H6" t="s">
        <v>207</v>
      </c>
      <c r="J6" t="s">
        <v>217</v>
      </c>
    </row>
    <row r="7" spans="1:12">
      <c r="C7" s="2" t="s">
        <v>24</v>
      </c>
      <c r="D7" s="1" t="s">
        <v>52</v>
      </c>
      <c r="E7">
        <f t="shared" si="0"/>
        <v>2</v>
      </c>
      <c r="F7">
        <v>2</v>
      </c>
      <c r="G7">
        <v>2</v>
      </c>
      <c r="H7" t="s">
        <v>208</v>
      </c>
      <c r="J7" t="s">
        <v>218</v>
      </c>
    </row>
    <row r="8" spans="1:12">
      <c r="C8" s="2" t="s">
        <v>25</v>
      </c>
      <c r="D8" s="1" t="s">
        <v>53</v>
      </c>
      <c r="E8">
        <f t="shared" si="0"/>
        <v>3</v>
      </c>
      <c r="F8">
        <v>2</v>
      </c>
      <c r="G8">
        <v>2</v>
      </c>
      <c r="H8" t="s">
        <v>209</v>
      </c>
      <c r="J8" t="s">
        <v>219</v>
      </c>
    </row>
    <row r="9" spans="1:12">
      <c r="A9" s="2" t="s">
        <v>26</v>
      </c>
      <c r="B9" s="2" t="s">
        <v>19</v>
      </c>
      <c r="D9" s="1" t="s">
        <v>46</v>
      </c>
      <c r="E9">
        <f t="shared" si="0"/>
        <v>3</v>
      </c>
      <c r="F9">
        <v>4</v>
      </c>
      <c r="G9">
        <v>4</v>
      </c>
      <c r="H9" t="s">
        <v>210</v>
      </c>
      <c r="J9" t="s">
        <v>220</v>
      </c>
    </row>
    <row r="10" spans="1:12">
      <c r="B10" s="2" t="s">
        <v>26</v>
      </c>
      <c r="D10" s="1" t="s">
        <v>213</v>
      </c>
      <c r="E10">
        <f t="shared" si="0"/>
        <v>30</v>
      </c>
      <c r="F10">
        <v>8</v>
      </c>
      <c r="G10">
        <v>8</v>
      </c>
      <c r="H10" t="s">
        <v>211</v>
      </c>
    </row>
    <row r="11" spans="1:12">
      <c r="B11" s="2" t="s">
        <v>27</v>
      </c>
      <c r="D11" s="1" t="s">
        <v>214</v>
      </c>
      <c r="E11">
        <f t="shared" si="0"/>
        <v>31</v>
      </c>
      <c r="F11">
        <v>8</v>
      </c>
      <c r="G11">
        <v>8</v>
      </c>
      <c r="H11" t="s">
        <v>212</v>
      </c>
    </row>
    <row r="12" spans="1:12">
      <c r="A12" s="2" t="s">
        <v>27</v>
      </c>
      <c r="B12" s="2" t="s">
        <v>19</v>
      </c>
      <c r="C12" s="2" t="s">
        <v>28</v>
      </c>
      <c r="D12" s="1">
        <v>1402</v>
      </c>
      <c r="E12">
        <f t="shared" si="0"/>
        <v>4</v>
      </c>
      <c r="F12">
        <v>0</v>
      </c>
      <c r="G12">
        <v>5</v>
      </c>
    </row>
    <row r="13" spans="1:12">
      <c r="C13" s="2" t="s">
        <v>21</v>
      </c>
      <c r="D13" s="1">
        <v>1400</v>
      </c>
      <c r="E13">
        <f t="shared" si="0"/>
        <v>4</v>
      </c>
      <c r="F13">
        <v>0</v>
      </c>
      <c r="G13">
        <v>5</v>
      </c>
    </row>
    <row r="14" spans="1:12">
      <c r="B14" s="2" t="s">
        <v>26</v>
      </c>
      <c r="C14" s="2" t="s">
        <v>29</v>
      </c>
      <c r="D14" s="1" t="s">
        <v>55</v>
      </c>
      <c r="E14">
        <f t="shared" si="0"/>
        <v>7</v>
      </c>
      <c r="F14">
        <v>4</v>
      </c>
      <c r="G14">
        <v>4</v>
      </c>
    </row>
    <row r="15" spans="1:12">
      <c r="C15" s="2" t="s">
        <v>30</v>
      </c>
      <c r="D15" s="1" t="s">
        <v>56</v>
      </c>
      <c r="E15">
        <f t="shared" si="0"/>
        <v>7</v>
      </c>
      <c r="F15">
        <v>4</v>
      </c>
      <c r="G15">
        <v>4</v>
      </c>
    </row>
    <row r="16" spans="1:12">
      <c r="C16" s="2" t="s">
        <v>31</v>
      </c>
      <c r="D16" s="1" t="s">
        <v>57</v>
      </c>
      <c r="E16">
        <f t="shared" si="0"/>
        <v>13</v>
      </c>
      <c r="F16">
        <v>4</v>
      </c>
      <c r="G16">
        <v>4</v>
      </c>
    </row>
    <row r="17" spans="1:7">
      <c r="C17" s="2" t="s">
        <v>32</v>
      </c>
      <c r="D17" s="1" t="s">
        <v>58</v>
      </c>
      <c r="E17">
        <f t="shared" si="0"/>
        <v>12</v>
      </c>
      <c r="F17">
        <v>4</v>
      </c>
      <c r="G17">
        <v>4</v>
      </c>
    </row>
    <row r="18" spans="1:7">
      <c r="B18" s="2" t="s">
        <v>27</v>
      </c>
      <c r="C18" s="2" t="s">
        <v>19</v>
      </c>
      <c r="D18" s="1" t="s">
        <v>221</v>
      </c>
      <c r="E18">
        <f t="shared" si="0"/>
        <v>6</v>
      </c>
      <c r="F18">
        <v>6</v>
      </c>
      <c r="G18">
        <v>6</v>
      </c>
    </row>
    <row r="19" spans="1:7">
      <c r="C19" s="2" t="s">
        <v>26</v>
      </c>
      <c r="D19" s="1" t="s">
        <v>222</v>
      </c>
      <c r="E19">
        <f t="shared" si="0"/>
        <v>6</v>
      </c>
      <c r="F19">
        <v>6</v>
      </c>
      <c r="G19">
        <v>6</v>
      </c>
    </row>
    <row r="20" spans="1:7">
      <c r="B20" s="2" t="s">
        <v>33</v>
      </c>
      <c r="D20" s="1" t="s">
        <v>223</v>
      </c>
      <c r="E20">
        <f t="shared" si="0"/>
        <v>12</v>
      </c>
      <c r="F20">
        <v>0</v>
      </c>
      <c r="G20">
        <v>8</v>
      </c>
    </row>
    <row r="21" spans="1:7">
      <c r="A21" s="2" t="s">
        <v>33</v>
      </c>
      <c r="B21" s="2" t="s">
        <v>19</v>
      </c>
      <c r="D21" s="1" t="s">
        <v>226</v>
      </c>
      <c r="E21">
        <f t="shared" si="0"/>
        <v>17</v>
      </c>
      <c r="F21">
        <v>4</v>
      </c>
      <c r="G21">
        <v>8</v>
      </c>
    </row>
    <row r="22" spans="1:7">
      <c r="B22" s="2" t="s">
        <v>26</v>
      </c>
      <c r="D22" s="1" t="s">
        <v>227</v>
      </c>
      <c r="E22">
        <f t="shared" si="0"/>
        <v>32</v>
      </c>
      <c r="F22">
        <v>8</v>
      </c>
      <c r="G22">
        <v>8</v>
      </c>
    </row>
    <row r="23" spans="1:7">
      <c r="B23" s="2" t="s">
        <v>27</v>
      </c>
      <c r="D23" s="1" t="s">
        <v>228</v>
      </c>
      <c r="E23">
        <f t="shared" si="0"/>
        <v>21</v>
      </c>
      <c r="F23">
        <v>0</v>
      </c>
      <c r="G23">
        <v>8</v>
      </c>
    </row>
    <row r="24" spans="1:7">
      <c r="E24" t="str">
        <f t="shared" si="0"/>
        <v/>
      </c>
    </row>
    <row r="25" spans="1:7">
      <c r="E25" t="str">
        <f t="shared" si="0"/>
        <v/>
      </c>
    </row>
    <row r="26" spans="1:7">
      <c r="E26" t="str">
        <f t="shared" si="0"/>
        <v/>
      </c>
    </row>
    <row r="27" spans="1:7">
      <c r="E27" t="str">
        <f t="shared" si="0"/>
        <v/>
      </c>
    </row>
    <row r="28" spans="1:7">
      <c r="E28" t="str">
        <f t="shared" si="0"/>
        <v/>
      </c>
    </row>
    <row r="29" spans="1:7">
      <c r="E29" t="str">
        <f t="shared" si="0"/>
        <v/>
      </c>
    </row>
    <row r="30" spans="1:7">
      <c r="E30" t="str">
        <f t="shared" si="0"/>
        <v/>
      </c>
    </row>
    <row r="31" spans="1:7">
      <c r="E31" t="str">
        <f t="shared" si="0"/>
        <v/>
      </c>
    </row>
    <row r="32" spans="1: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FFBE-4E19-4266-80DE-2558BF0ECCA8}">
  <sheetPr codeName="Sheet9"/>
  <dimension ref="A1:J167"/>
  <sheetViews>
    <sheetView zoomScale="115" zoomScaleNormal="115" workbookViewId="0">
      <pane xSplit="1" ySplit="3" topLeftCell="B22" activePane="bottomRight" state="frozen"/>
      <selection pane="topRight" activeCell="B1" sqref="B1"/>
      <selection pane="bottomLeft" activeCell="A4" sqref="A4"/>
      <selection pane="bottomRight" activeCell="F30" sqref="F30"/>
    </sheetView>
  </sheetViews>
  <sheetFormatPr defaultRowHeight="18.75"/>
  <cols>
    <col min="1" max="3" width="4.875" style="2" customWidth="1"/>
    <col min="4" max="4" width="81.625" style="1" customWidth="1"/>
    <col min="5" max="7" width="5.5" customWidth="1"/>
  </cols>
  <sheetData>
    <row r="1" spans="1:10">
      <c r="A1" s="5" t="s">
        <v>0</v>
      </c>
      <c r="B1" s="5"/>
      <c r="C1" s="5"/>
      <c r="D1" s="1" t="s">
        <v>17</v>
      </c>
    </row>
    <row r="2" spans="1:10">
      <c r="A2" s="5" t="s">
        <v>2</v>
      </c>
      <c r="B2" s="5"/>
      <c r="C2" s="5"/>
      <c r="D2" s="3" t="s">
        <v>66</v>
      </c>
      <c r="F2">
        <f>SUM(F4:F1000)</f>
        <v>81</v>
      </c>
      <c r="G2">
        <f>SUM(G4:G1000)</f>
        <v>100</v>
      </c>
    </row>
    <row r="3" spans="1:10">
      <c r="A3" s="5" t="s">
        <v>1</v>
      </c>
      <c r="B3" s="5"/>
      <c r="C3" s="5"/>
      <c r="D3" s="1" t="s">
        <v>3</v>
      </c>
      <c r="E3" t="s">
        <v>6</v>
      </c>
      <c r="F3" t="s">
        <v>4</v>
      </c>
      <c r="G3" t="s">
        <v>5</v>
      </c>
    </row>
    <row r="4" spans="1:10">
      <c r="A4" s="2" t="s">
        <v>19</v>
      </c>
      <c r="C4" s="2" t="s">
        <v>67</v>
      </c>
      <c r="D4" s="4" t="s">
        <v>240</v>
      </c>
      <c r="E4">
        <f>IF(D4&lt;&gt;"",LEN(D4),"")</f>
        <v>4</v>
      </c>
      <c r="F4">
        <v>2</v>
      </c>
      <c r="G4">
        <v>2</v>
      </c>
      <c r="H4" t="s">
        <v>229</v>
      </c>
      <c r="J4" t="s">
        <v>238</v>
      </c>
    </row>
    <row r="5" spans="1:10">
      <c r="C5" s="2" t="s">
        <v>68</v>
      </c>
      <c r="D5" s="4" t="s">
        <v>243</v>
      </c>
      <c r="E5">
        <f t="shared" ref="E5:E68" si="0">IF(D5&lt;&gt;"",LEN(D5),"")</f>
        <v>16</v>
      </c>
      <c r="F5">
        <v>2</v>
      </c>
      <c r="G5">
        <v>2</v>
      </c>
      <c r="H5" t="s">
        <v>230</v>
      </c>
      <c r="J5" t="s">
        <v>242</v>
      </c>
    </row>
    <row r="6" spans="1:10">
      <c r="C6" s="2" t="s">
        <v>69</v>
      </c>
      <c r="D6" s="4">
        <v>3</v>
      </c>
      <c r="E6">
        <f t="shared" si="0"/>
        <v>1</v>
      </c>
      <c r="F6">
        <v>2</v>
      </c>
      <c r="G6">
        <v>2</v>
      </c>
      <c r="H6" t="s">
        <v>231</v>
      </c>
    </row>
    <row r="7" spans="1:10">
      <c r="C7" s="2" t="s">
        <v>70</v>
      </c>
      <c r="D7" s="4" t="s">
        <v>261</v>
      </c>
      <c r="E7">
        <f t="shared" si="0"/>
        <v>5</v>
      </c>
      <c r="F7">
        <v>2</v>
      </c>
      <c r="G7">
        <v>2</v>
      </c>
      <c r="H7" t="s">
        <v>232</v>
      </c>
    </row>
    <row r="8" spans="1:10">
      <c r="C8" s="2" t="s">
        <v>71</v>
      </c>
      <c r="D8" s="4" t="s">
        <v>86</v>
      </c>
      <c r="E8">
        <f t="shared" si="0"/>
        <v>8</v>
      </c>
      <c r="F8">
        <v>2</v>
      </c>
      <c r="G8">
        <v>2</v>
      </c>
      <c r="H8" t="s">
        <v>233</v>
      </c>
    </row>
    <row r="9" spans="1:10">
      <c r="A9" s="2" t="s">
        <v>26</v>
      </c>
      <c r="C9" s="2" t="s">
        <v>20</v>
      </c>
      <c r="D9" s="4" t="s">
        <v>239</v>
      </c>
      <c r="E9">
        <f t="shared" si="0"/>
        <v>7</v>
      </c>
      <c r="F9">
        <v>0</v>
      </c>
      <c r="G9">
        <v>2</v>
      </c>
      <c r="H9" t="s">
        <v>234</v>
      </c>
    </row>
    <row r="10" spans="1:10">
      <c r="C10" s="2" t="s">
        <v>72</v>
      </c>
      <c r="D10" s="4" t="s">
        <v>91</v>
      </c>
      <c r="E10">
        <f t="shared" si="0"/>
        <v>5</v>
      </c>
      <c r="F10">
        <v>3</v>
      </c>
      <c r="G10">
        <v>3</v>
      </c>
      <c r="H10" t="s">
        <v>235</v>
      </c>
    </row>
    <row r="11" spans="1:10" ht="37.5">
      <c r="A11" s="2" t="s">
        <v>27</v>
      </c>
      <c r="B11" s="2" t="s">
        <v>19</v>
      </c>
      <c r="D11" s="4" t="s">
        <v>241</v>
      </c>
      <c r="E11">
        <f t="shared" si="0"/>
        <v>56</v>
      </c>
      <c r="F11">
        <v>5</v>
      </c>
      <c r="G11">
        <v>5</v>
      </c>
      <c r="H11" t="s">
        <v>236</v>
      </c>
    </row>
    <row r="12" spans="1:10">
      <c r="B12" s="2" t="s">
        <v>26</v>
      </c>
      <c r="D12" s="4" t="s">
        <v>95</v>
      </c>
      <c r="E12">
        <f t="shared" si="0"/>
        <v>8</v>
      </c>
      <c r="F12">
        <v>5</v>
      </c>
      <c r="G12">
        <v>5</v>
      </c>
      <c r="H12" t="s">
        <v>117</v>
      </c>
    </row>
    <row r="13" spans="1:10">
      <c r="A13" s="2" t="s">
        <v>33</v>
      </c>
      <c r="B13" s="2" t="s">
        <v>19</v>
      </c>
      <c r="C13" s="2" t="s">
        <v>22</v>
      </c>
      <c r="D13" s="4" t="s">
        <v>92</v>
      </c>
      <c r="E13">
        <f t="shared" si="0"/>
        <v>5</v>
      </c>
      <c r="F13">
        <v>2</v>
      </c>
      <c r="G13">
        <v>2</v>
      </c>
      <c r="H13" t="s">
        <v>237</v>
      </c>
    </row>
    <row r="14" spans="1:10">
      <c r="C14" s="2" t="s">
        <v>23</v>
      </c>
      <c r="D14" s="4" t="s">
        <v>244</v>
      </c>
      <c r="E14">
        <f t="shared" si="0"/>
        <v>4</v>
      </c>
      <c r="F14">
        <v>0</v>
      </c>
      <c r="G14">
        <v>2</v>
      </c>
      <c r="H14" t="s">
        <v>247</v>
      </c>
    </row>
    <row r="15" spans="1:10">
      <c r="C15" s="2" t="s">
        <v>24</v>
      </c>
      <c r="D15" s="4">
        <v>1</v>
      </c>
      <c r="E15">
        <f t="shared" si="0"/>
        <v>1</v>
      </c>
      <c r="F15">
        <v>2</v>
      </c>
      <c r="G15">
        <v>2</v>
      </c>
      <c r="H15" t="s">
        <v>249</v>
      </c>
    </row>
    <row r="16" spans="1:10">
      <c r="B16" s="2" t="s">
        <v>26</v>
      </c>
      <c r="D16" s="4" t="s">
        <v>245</v>
      </c>
      <c r="E16">
        <f t="shared" si="0"/>
        <v>24</v>
      </c>
      <c r="F16">
        <v>5</v>
      </c>
      <c r="G16">
        <v>5</v>
      </c>
      <c r="H16" t="s">
        <v>250</v>
      </c>
    </row>
    <row r="17" spans="1:8">
      <c r="B17" s="2" t="s">
        <v>27</v>
      </c>
      <c r="D17" s="4" t="s">
        <v>246</v>
      </c>
      <c r="E17">
        <f t="shared" si="0"/>
        <v>32</v>
      </c>
      <c r="F17">
        <v>5</v>
      </c>
      <c r="G17">
        <v>5</v>
      </c>
      <c r="H17" t="s">
        <v>253</v>
      </c>
    </row>
    <row r="18" spans="1:8">
      <c r="B18" s="2" t="s">
        <v>33</v>
      </c>
      <c r="D18" s="4" t="s">
        <v>248</v>
      </c>
      <c r="E18">
        <f t="shared" si="0"/>
        <v>38</v>
      </c>
      <c r="F18">
        <v>6</v>
      </c>
      <c r="G18">
        <v>6</v>
      </c>
      <c r="H18" t="s">
        <v>254</v>
      </c>
    </row>
    <row r="19" spans="1:8">
      <c r="B19" s="2" t="s">
        <v>73</v>
      </c>
      <c r="C19" s="2" t="s">
        <v>25</v>
      </c>
      <c r="D19" s="4" t="s">
        <v>101</v>
      </c>
      <c r="E19">
        <f t="shared" si="0"/>
        <v>7</v>
      </c>
      <c r="F19">
        <v>3</v>
      </c>
      <c r="G19">
        <v>3</v>
      </c>
      <c r="H19" t="s">
        <v>262</v>
      </c>
    </row>
    <row r="20" spans="1:8">
      <c r="C20" s="2" t="s">
        <v>74</v>
      </c>
      <c r="D20" s="4" t="s">
        <v>102</v>
      </c>
      <c r="E20">
        <f t="shared" si="0"/>
        <v>3</v>
      </c>
      <c r="F20">
        <v>3</v>
      </c>
      <c r="G20">
        <v>3</v>
      </c>
      <c r="H20" t="s">
        <v>117</v>
      </c>
    </row>
    <row r="21" spans="1:8">
      <c r="A21" s="2" t="s">
        <v>73</v>
      </c>
      <c r="B21" s="2" t="s">
        <v>19</v>
      </c>
      <c r="C21" s="2" t="s">
        <v>132</v>
      </c>
      <c r="D21" s="4" t="s">
        <v>256</v>
      </c>
      <c r="E21">
        <f t="shared" si="0"/>
        <v>15</v>
      </c>
      <c r="F21">
        <v>2</v>
      </c>
      <c r="G21">
        <v>2</v>
      </c>
      <c r="H21" t="s">
        <v>263</v>
      </c>
    </row>
    <row r="22" spans="1:8">
      <c r="C22" s="2" t="s">
        <v>133</v>
      </c>
      <c r="D22" s="4" t="s">
        <v>257</v>
      </c>
      <c r="E22">
        <f t="shared" si="0"/>
        <v>13</v>
      </c>
      <c r="F22">
        <v>2</v>
      </c>
      <c r="G22">
        <v>2</v>
      </c>
      <c r="H22" t="s">
        <v>264</v>
      </c>
    </row>
    <row r="23" spans="1:8">
      <c r="C23" s="2" t="s">
        <v>134</v>
      </c>
      <c r="D23" s="4">
        <v>53</v>
      </c>
      <c r="F23">
        <v>2</v>
      </c>
      <c r="G23">
        <v>2</v>
      </c>
      <c r="H23" t="s">
        <v>265</v>
      </c>
    </row>
    <row r="24" spans="1:8">
      <c r="C24" s="2" t="s">
        <v>251</v>
      </c>
      <c r="D24" s="4" t="s">
        <v>258</v>
      </c>
      <c r="F24">
        <v>2</v>
      </c>
      <c r="G24">
        <v>2</v>
      </c>
      <c r="H24" t="s">
        <v>266</v>
      </c>
    </row>
    <row r="25" spans="1:8">
      <c r="C25" s="2" t="s">
        <v>252</v>
      </c>
      <c r="D25" s="4" t="s">
        <v>259</v>
      </c>
      <c r="F25">
        <v>2</v>
      </c>
      <c r="G25">
        <v>2</v>
      </c>
      <c r="H25" t="s">
        <v>267</v>
      </c>
    </row>
    <row r="26" spans="1:8">
      <c r="B26" s="2" t="s">
        <v>26</v>
      </c>
      <c r="D26" s="4" t="s">
        <v>255</v>
      </c>
      <c r="E26">
        <f t="shared" ref="E26:E32" si="1">IF(D26&lt;&gt;"",LEN(D26),"")</f>
        <v>11</v>
      </c>
      <c r="F26">
        <v>6</v>
      </c>
      <c r="G26">
        <v>6</v>
      </c>
      <c r="H26" t="s">
        <v>268</v>
      </c>
    </row>
    <row r="27" spans="1:8">
      <c r="B27" s="2" t="s">
        <v>27</v>
      </c>
      <c r="D27" s="4" t="s">
        <v>260</v>
      </c>
      <c r="E27">
        <f t="shared" si="1"/>
        <v>43</v>
      </c>
      <c r="F27">
        <v>6</v>
      </c>
      <c r="G27">
        <v>6</v>
      </c>
      <c r="H27" t="s">
        <v>271</v>
      </c>
    </row>
    <row r="28" spans="1:8">
      <c r="A28" s="2" t="s">
        <v>75</v>
      </c>
      <c r="B28" s="2" t="s">
        <v>19</v>
      </c>
      <c r="D28" s="4" t="s">
        <v>269</v>
      </c>
      <c r="E28">
        <f t="shared" si="1"/>
        <v>6</v>
      </c>
      <c r="F28">
        <v>0</v>
      </c>
      <c r="G28">
        <v>4</v>
      </c>
    </row>
    <row r="29" spans="1:8">
      <c r="B29" s="2" t="s">
        <v>26</v>
      </c>
      <c r="D29" s="4">
        <v>3</v>
      </c>
      <c r="E29">
        <f t="shared" si="1"/>
        <v>1</v>
      </c>
      <c r="F29">
        <v>5</v>
      </c>
      <c r="G29">
        <v>4</v>
      </c>
    </row>
    <row r="30" spans="1:8">
      <c r="B30" s="2" t="s">
        <v>27</v>
      </c>
      <c r="D30" s="4" t="s">
        <v>270</v>
      </c>
      <c r="E30">
        <f t="shared" si="1"/>
        <v>19</v>
      </c>
      <c r="F30">
        <v>5</v>
      </c>
      <c r="G30">
        <v>5</v>
      </c>
    </row>
    <row r="31" spans="1:8">
      <c r="B31" s="2" t="s">
        <v>33</v>
      </c>
      <c r="D31" s="4" t="s">
        <v>272</v>
      </c>
      <c r="E31">
        <f t="shared" si="1"/>
        <v>23</v>
      </c>
      <c r="F31">
        <v>0</v>
      </c>
      <c r="G31">
        <v>6</v>
      </c>
    </row>
    <row r="32" spans="1:8">
      <c r="B32" s="2" t="s">
        <v>73</v>
      </c>
      <c r="D32" s="4" t="s">
        <v>273</v>
      </c>
      <c r="E32">
        <f t="shared" si="1"/>
        <v>31</v>
      </c>
      <c r="F32">
        <v>0</v>
      </c>
      <c r="G32">
        <v>6</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レビュー</vt:lpstr>
      <vt:lpstr>4</vt:lpstr>
      <vt:lpstr>5</vt:lpstr>
      <vt:lpstr>1</vt:lpstr>
      <vt:lpstr>2</vt:lpstr>
      <vt:lpstr>3</vt:lpstr>
      <vt:lpstr>3_2</vt:lpstr>
      <vt:lpstr>4_2</vt:lpstr>
      <vt:lpstr>5_2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2026-09-12T10:08:23Z</dcterms:modified>
</cp:coreProperties>
</file>