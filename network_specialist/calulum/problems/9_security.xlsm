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803C0015-09B9-4F79-AEDE-22FF7755C08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レビュー" sheetId="2" r:id="rId1"/>
    <sheet name="4" sheetId="4" r:id="rId2"/>
    <sheet name="5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5" l="1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<sst xmlns="http://schemas.openxmlformats.org/spreadsheetml/2006/main" count="163" uniqueCount="114">
  <si>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</si>
  <si>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</si>
  <si>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</si>
  <si>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</si>
  <si>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</si>
  <si>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</si>
  <si>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</si>
  <si>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</si>
  <si>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</si>
  <si>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</si>
  <si>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</si>
  <si>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</si>
  <si>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</si>
  <si>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</si>
  <si>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</si>
  <si>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</si>
  <si>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</si>
  <si>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4">
      <t>ジュウテンタイサク</t>
    </rPh>
    <phoneticPr fontId="1"/>
  </si>
  <si>
    <t>問題4</t>
    <rPh sb="0" eb="2">
      <t>モンダイ</t>
    </rPh>
    <phoneticPr fontId="1"/>
  </si>
  <si>
    <t>1</t>
    <phoneticPr fontId="1"/>
  </si>
  <si>
    <t>ア</t>
    <phoneticPr fontId="1"/>
  </si>
  <si>
    <t>い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</si>
  <si>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</si>
  <si>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</si>
  <si>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</si>
  <si>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</si>
  <si>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2</t>
    <phoneticPr fontId="1"/>
  </si>
  <si>
    <t>3</t>
    <phoneticPr fontId="1"/>
  </si>
  <si>
    <t>あ</t>
    <phoneticPr fontId="1"/>
  </si>
  <si>
    <t>1元</t>
    <rPh sb="1" eb="2">
      <t>モト</t>
    </rPh>
    <phoneticPr fontId="1"/>
  </si>
  <si>
    <t>1先</t>
    <rPh sb="1" eb="2">
      <t>サキ</t>
    </rPh>
    <phoneticPr fontId="1"/>
  </si>
  <si>
    <t>2元</t>
    <rPh sb="1" eb="2">
      <t>モト</t>
    </rPh>
    <phoneticPr fontId="1"/>
  </si>
  <si>
    <t>2先</t>
    <rPh sb="1" eb="2">
      <t>サキ</t>
    </rPh>
    <phoneticPr fontId="1"/>
  </si>
  <si>
    <t>4</t>
    <phoneticPr fontId="1"/>
  </si>
  <si>
    <t>Y社は医療機器はjン倍会社</t>
    <rPh sb="1" eb="2">
      <t>シャ</t>
    </rPh>
    <rPh sb="3" eb="7">
      <t>イリョウキキ</t>
    </rPh>
    <rPh sb="10" eb="11">
      <t>バイ</t>
    </rPh>
    <rPh sb="11" eb="13">
      <t>カイシャ</t>
    </rPh>
    <phoneticPr fontId="1"/>
  </si>
  <si>
    <t>広域イーサネット</t>
    <rPh sb="0" eb="2">
      <t>コウイキ</t>
    </rPh>
    <phoneticPr fontId="1"/>
  </si>
  <si>
    <t>WAN回線の可用性向上を目的</t>
    <rPh sb="3" eb="5">
      <t>カイセン</t>
    </rPh>
    <rPh sb="6" eb="11">
      <t>カヨウセイコウジョウ</t>
    </rPh>
    <rPh sb="12" eb="14">
      <t>モクテキ</t>
    </rPh>
    <phoneticPr fontId="1"/>
  </si>
  <si>
    <t>再構築</t>
    <rPh sb="0" eb="3">
      <t>サイコウチク</t>
    </rPh>
    <phoneticPr fontId="1"/>
  </si>
  <si>
    <t>ルータ間で合意されるものがSA</t>
    <rPh sb="3" eb="4">
      <t>アイダ</t>
    </rPh>
    <rPh sb="5" eb="7">
      <t>ゴウイ</t>
    </rPh>
    <phoneticPr fontId="1"/>
  </si>
  <si>
    <t>セレクタ</t>
    <phoneticPr fontId="1"/>
  </si>
  <si>
    <t>アグレッシブ</t>
    <phoneticPr fontId="1"/>
  </si>
  <si>
    <t>トンネリングは仮想の専用線を構築すること</t>
    <rPh sb="7" eb="9">
      <t>カソウ</t>
    </rPh>
    <rPh sb="10" eb="13">
      <t>センヨウセン</t>
    </rPh>
    <rPh sb="14" eb="16">
      <t>コウチク</t>
    </rPh>
    <phoneticPr fontId="1"/>
  </si>
  <si>
    <t>トンネリングはトラフィックを別プロトコルでカプセル化する</t>
    <rPh sb="14" eb="15">
      <t>ベツ</t>
    </rPh>
    <rPh sb="25" eb="26">
      <t>カ</t>
    </rPh>
    <phoneticPr fontId="1"/>
  </si>
  <si>
    <t>セキュリティプロトコル</t>
    <phoneticPr fontId="1"/>
  </si>
  <si>
    <t>暗号化方式</t>
    <rPh sb="0" eb="3">
      <t>アンゴウカ</t>
    </rPh>
    <rPh sb="3" eb="5">
      <t>ホウシキ</t>
    </rPh>
    <phoneticPr fontId="1"/>
  </si>
  <si>
    <t>フェーズ2はアグレッシブ</t>
    <phoneticPr fontId="1"/>
  </si>
  <si>
    <t>リキー</t>
    <phoneticPr fontId="1"/>
  </si>
  <si>
    <t>Ipsec通信で送受信されるメッセージが通信中に改ざんされていないこと</t>
    <rPh sb="5" eb="7">
      <t>ツウシン</t>
    </rPh>
    <rPh sb="8" eb="11">
      <t>ソウジュシン</t>
    </rPh>
    <rPh sb="20" eb="22">
      <t>ツウシン</t>
    </rPh>
    <rPh sb="22" eb="23">
      <t>ナカ</t>
    </rPh>
    <rPh sb="24" eb="25">
      <t>カイ</t>
    </rPh>
    <phoneticPr fontId="1"/>
  </si>
  <si>
    <t>IpsecでVPNを構築したときにOSPFを稼働することが出来ない</t>
    <rPh sb="10" eb="12">
      <t>コウチク</t>
    </rPh>
    <rPh sb="22" eb="24">
      <t>カドウ</t>
    </rPh>
    <rPh sb="29" eb="31">
      <t>デキ</t>
    </rPh>
    <phoneticPr fontId="1"/>
  </si>
  <si>
    <t>OSPFのリンクステート情報交換はIPマルチキャスト通信で行われるため</t>
    <rPh sb="12" eb="14">
      <t>ジョウホウ</t>
    </rPh>
    <rPh sb="14" eb="16">
      <t>コウカン</t>
    </rPh>
    <rPh sb="26" eb="28">
      <t>ツウシン</t>
    </rPh>
    <rPh sb="29" eb="30">
      <t>オコナ</t>
    </rPh>
    <phoneticPr fontId="1"/>
  </si>
  <si>
    <t>InternetVONを構築したとき、OSPFを稼働することがでいない</t>
    <rPh sb="12" eb="14">
      <t>コウチク</t>
    </rPh>
    <rPh sb="24" eb="26">
      <t>カドウ</t>
    </rPh>
    <phoneticPr fontId="1"/>
  </si>
  <si>
    <t>L2TPによりデータリンクのプロトコルをトンネリングするプロトコル</t>
    <phoneticPr fontId="1"/>
  </si>
  <si>
    <t>経路</t>
    <rPh sb="0" eb="2">
      <t>ケイロ</t>
    </rPh>
    <phoneticPr fontId="1"/>
  </si>
  <si>
    <t>断片化</t>
    <rPh sb="0" eb="3">
      <t>ダンペンカ</t>
    </rPh>
    <phoneticPr fontId="1"/>
  </si>
  <si>
    <t>図4はGRE寺領時の通信例</t>
    <rPh sb="0" eb="1">
      <t>ズ</t>
    </rPh>
    <rPh sb="6" eb="9">
      <t>ジリョウジ</t>
    </rPh>
    <rPh sb="10" eb="13">
      <t>ツウシンレイ</t>
    </rPh>
    <phoneticPr fontId="1"/>
  </si>
  <si>
    <t>α.0.0.1</t>
    <phoneticPr fontId="1"/>
  </si>
  <si>
    <t>β.0.0.1</t>
    <phoneticPr fontId="1"/>
  </si>
  <si>
    <t>192.168.0.100</t>
    <phoneticPr fontId="1"/>
  </si>
  <si>
    <t>192.168.10.1</t>
    <phoneticPr fontId="1"/>
  </si>
  <si>
    <t>図6の通信でIPアドレスが格納されるヘッダ</t>
    <rPh sb="0" eb="1">
      <t>ズ</t>
    </rPh>
    <rPh sb="3" eb="5">
      <t>ツウシン</t>
    </rPh>
    <rPh sb="13" eb="15">
      <t>カクノウ</t>
    </rPh>
    <phoneticPr fontId="1"/>
  </si>
  <si>
    <t>IPヘッダ2</t>
    <phoneticPr fontId="1"/>
  </si>
  <si>
    <t>IPヘッダ1</t>
    <phoneticPr fontId="1"/>
  </si>
  <si>
    <t>カプセル化するオーバヘッドがL2TPより小さいので、１つのパケットで転送できるデータ量が多い</t>
    <rPh sb="4" eb="5">
      <t>カ</t>
    </rPh>
    <rPh sb="20" eb="21">
      <t>チイ</t>
    </rPh>
    <rPh sb="34" eb="36">
      <t>テンソウ</t>
    </rPh>
    <rPh sb="42" eb="43">
      <t>リョウ</t>
    </rPh>
    <rPh sb="44" eb="45">
      <t>オオ</t>
    </rPh>
    <phoneticPr fontId="1"/>
  </si>
  <si>
    <t>GREによるトンネリングが行われるため</t>
    <rPh sb="13" eb="14">
      <t>オコナ</t>
    </rPh>
    <phoneticPr fontId="1"/>
  </si>
  <si>
    <t>ESP認証データ長は使用する認証アルゴリズムによって変化するため</t>
    <rPh sb="3" eb="5">
      <t>ニンショウ</t>
    </rPh>
    <rPh sb="8" eb="9">
      <t>ナガ</t>
    </rPh>
    <rPh sb="10" eb="12">
      <t>シヨウ</t>
    </rPh>
    <rPh sb="14" eb="16">
      <t>ニンショウ</t>
    </rPh>
    <rPh sb="26" eb="28">
      <t>ヘンカ</t>
    </rPh>
    <phoneticPr fontId="1"/>
  </si>
  <si>
    <t>GREヘッダ、ESPトレーダ</t>
    <phoneticPr fontId="1"/>
  </si>
  <si>
    <t>問題5</t>
    <rPh sb="0" eb="2">
      <t>モンダイ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</si>
  <si>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</si>
  <si>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</si>
  <si>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</si>
  <si>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</si>
  <si>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</si>
  <si>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名称</t>
    <rPh sb="0" eb="2">
      <t>メイショウ</t>
    </rPh>
    <phoneticPr fontId="1"/>
  </si>
  <si>
    <t>5</t>
    <phoneticPr fontId="1"/>
  </si>
  <si>
    <t>カ</t>
    <phoneticPr fontId="1"/>
  </si>
  <si>
    <t>6</t>
    <phoneticPr fontId="1"/>
  </si>
  <si>
    <t>IT製品</t>
    <rPh sb="2" eb="4">
      <t>セイヒン</t>
    </rPh>
    <phoneticPr fontId="1"/>
  </si>
  <si>
    <t>国内外のベンダ</t>
    <rPh sb="0" eb="3">
      <t>コクナイガイ</t>
    </rPh>
    <phoneticPr fontId="1"/>
  </si>
  <si>
    <t>W社ではシステムを営業システム</t>
    <rPh sb="1" eb="2">
      <t>シャ</t>
    </rPh>
    <rPh sb="9" eb="11">
      <t>エイギョウ</t>
    </rPh>
    <phoneticPr fontId="1"/>
  </si>
  <si>
    <t>DMZのLB</t>
    <phoneticPr fontId="1"/>
  </si>
  <si>
    <t>代理店サーバの内部LAN</t>
    <rPh sb="0" eb="3">
      <t>ダイリテン</t>
    </rPh>
    <rPh sb="7" eb="9">
      <t>ナイブ</t>
    </rPh>
    <phoneticPr fontId="1"/>
  </si>
  <si>
    <t>代理店サーバ</t>
    <rPh sb="0" eb="3">
      <t>ダイリテン</t>
    </rPh>
    <phoneticPr fontId="1"/>
  </si>
  <si>
    <t>LBで負荷分散</t>
    <rPh sb="3" eb="7">
      <t>フカブンサン</t>
    </rPh>
    <phoneticPr fontId="1"/>
  </si>
  <si>
    <t>外出先からの営業システムの利用</t>
    <rPh sb="0" eb="3">
      <t>ガイシュツサキ</t>
    </rPh>
    <rPh sb="6" eb="8">
      <t>エイギョウ</t>
    </rPh>
    <rPh sb="13" eb="15">
      <t>リヨウ</t>
    </rPh>
    <phoneticPr fontId="1"/>
  </si>
  <si>
    <t>内部LANのNPCからWEBサイトのアクセスとアクセスはFP</t>
    <rPh sb="0" eb="2">
      <t>ナイブ</t>
    </rPh>
    <phoneticPr fontId="1"/>
  </si>
  <si>
    <t>外部DNSはゾーンを管理するだけでなく</t>
    <rPh sb="0" eb="2">
      <t>ガイブ</t>
    </rPh>
    <rPh sb="10" eb="12">
      <t>カンリ</t>
    </rPh>
    <phoneticPr fontId="1"/>
  </si>
  <si>
    <t>メール中継サーバ</t>
    <rPh sb="3" eb="5">
      <t>チュウケイ</t>
    </rPh>
    <phoneticPr fontId="1"/>
  </si>
  <si>
    <t>TCP</t>
    <phoneticPr fontId="1"/>
  </si>
  <si>
    <t>ICMP</t>
    <phoneticPr fontId="1"/>
  </si>
  <si>
    <t>SYNフラッド攻撃の防御</t>
    <rPh sb="7" eb="9">
      <t>コウゲキ</t>
    </rPh>
    <rPh sb="10" eb="12">
      <t>ボウギョ</t>
    </rPh>
    <phoneticPr fontId="1"/>
  </si>
  <si>
    <t>x.y.z.1</t>
    <phoneticPr fontId="1"/>
  </si>
  <si>
    <t>ゾーン転送</t>
    <rPh sb="3" eb="5">
      <t>テンソウ</t>
    </rPh>
    <phoneticPr fontId="1"/>
  </si>
  <si>
    <t>シーケンス</t>
    <phoneticPr fontId="1"/>
  </si>
  <si>
    <t>確認応答番号</t>
    <rPh sb="0" eb="2">
      <t>カクニン</t>
    </rPh>
    <rPh sb="2" eb="4">
      <t>オウトウ</t>
    </rPh>
    <rPh sb="4" eb="6">
      <t>バンゴウ</t>
    </rPh>
    <phoneticPr fontId="1"/>
  </si>
  <si>
    <t>送信元IPアドレスが真正なものかを確認し、不正な場合パケットを破棄する</t>
    <rPh sb="0" eb="3">
      <t>ソウシンモト</t>
    </rPh>
    <rPh sb="10" eb="12">
      <t>シンセイ</t>
    </rPh>
    <rPh sb="17" eb="19">
      <t>カクニン</t>
    </rPh>
    <rPh sb="21" eb="23">
      <t>フセイ</t>
    </rPh>
    <rPh sb="24" eb="26">
      <t>バアイ</t>
    </rPh>
    <rPh sb="31" eb="33">
      <t>ハキ</t>
    </rPh>
    <phoneticPr fontId="1"/>
  </si>
  <si>
    <t>α.β.γ.15</t>
    <phoneticPr fontId="1"/>
  </si>
  <si>
    <t>FPサーバー</t>
    <phoneticPr fontId="1"/>
  </si>
  <si>
    <t>コネクション準備段階ではメモリの確保が不要なため</t>
    <rPh sb="6" eb="8">
      <t>ジュンビ</t>
    </rPh>
    <rPh sb="8" eb="10">
      <t>ダンカイ</t>
    </rPh>
    <rPh sb="16" eb="18">
      <t>カクホ</t>
    </rPh>
    <rPh sb="19" eb="21">
      <t>フヨウ</t>
    </rPh>
    <phoneticPr fontId="1"/>
  </si>
  <si>
    <t>防止できていると判断した李湯</t>
    <rPh sb="0" eb="2">
      <t>ボウシ</t>
    </rPh>
    <rPh sb="8" eb="10">
      <t>ハンダン</t>
    </rPh>
    <rPh sb="12" eb="14">
      <t>リユ</t>
    </rPh>
    <phoneticPr fontId="1"/>
  </si>
  <si>
    <t>FPサーバんはインターネットからのコネクションが確立できないため</t>
    <rPh sb="24" eb="26">
      <t>カクリツ</t>
    </rPh>
    <phoneticPr fontId="1"/>
  </si>
  <si>
    <t>インターネットより受信したW社のメールアドレス宛以外のメールは中継処理しない</t>
    <rPh sb="9" eb="11">
      <t>ジュシン</t>
    </rPh>
    <rPh sb="14" eb="15">
      <t>シャ</t>
    </rPh>
    <rPh sb="23" eb="24">
      <t>アテ</t>
    </rPh>
    <rPh sb="24" eb="26">
      <t>イガイ</t>
    </rPh>
    <rPh sb="31" eb="33">
      <t>チュウケイ</t>
    </rPh>
    <rPh sb="33" eb="35">
      <t>ショリ</t>
    </rPh>
    <phoneticPr fontId="1"/>
  </si>
  <si>
    <t>α.β.γ.6</t>
    <phoneticPr fontId="1"/>
  </si>
  <si>
    <t>any</t>
    <phoneticPr fontId="1"/>
  </si>
  <si>
    <t>DNSのリスク</t>
    <phoneticPr fontId="1"/>
  </si>
  <si>
    <t>キャッシュポイズニング</t>
    <phoneticPr fontId="1"/>
  </si>
  <si>
    <t>宛先ポート番号、識別子</t>
    <rPh sb="0" eb="2">
      <t>アテサキ</t>
    </rPh>
    <rPh sb="5" eb="7">
      <t>バンゴウ</t>
    </rPh>
    <rPh sb="8" eb="11">
      <t>シキベツシ</t>
    </rPh>
    <phoneticPr fontId="1"/>
  </si>
  <si>
    <t>古リゾルバサーバーのIPアドレス</t>
    <rPh sb="0" eb="1">
      <t>フル</t>
    </rPh>
    <phoneticPr fontId="1"/>
  </si>
  <si>
    <t>InternetからDNSサーバー2へのパケットがFWで廃棄されるため</t>
    <rPh sb="28" eb="30">
      <t>ハイキ</t>
    </rPh>
    <phoneticPr fontId="1"/>
  </si>
  <si>
    <t>マルウェア内部LANの親友</t>
    <rPh sb="5" eb="7">
      <t>ナイブ</t>
    </rPh>
    <rPh sb="11" eb="13">
      <t>シンユウ</t>
    </rPh>
    <phoneticPr fontId="1"/>
  </si>
  <si>
    <t>W社の除法が漏洩すると侵入される</t>
    <rPh sb="1" eb="2">
      <t>シャ</t>
    </rPh>
    <rPh sb="3" eb="5">
      <t>ジョホウ</t>
    </rPh>
    <rPh sb="6" eb="8">
      <t>ロウエイ</t>
    </rPh>
    <rPh sb="11" eb="13">
      <t>シンニュウ</t>
    </rPh>
    <phoneticPr fontId="1"/>
  </si>
  <si>
    <t>eghf</t>
    <phoneticPr fontId="1"/>
  </si>
  <si>
    <t>アクセス先のホスト名をランダムに変更する</t>
    <rPh sb="4" eb="5">
      <t>サキ</t>
    </rPh>
    <rPh sb="9" eb="10">
      <t>メイ</t>
    </rPh>
    <rPh sb="16" eb="18">
      <t>ヘンコウ</t>
    </rPh>
    <phoneticPr fontId="1"/>
  </si>
  <si>
    <t>FPサーバでの認証エラーが短時間に繰り返されている</t>
    <rPh sb="7" eb="9">
      <t>ニンショウ</t>
    </rPh>
    <rPh sb="13" eb="16">
      <t>タンジカン</t>
    </rPh>
    <rPh sb="17" eb="18">
      <t>ク</t>
    </rPh>
    <rPh sb="19" eb="20">
      <t>カエ</t>
    </rPh>
    <phoneticPr fontId="1"/>
  </si>
  <si>
    <t>宛先が設定できないため</t>
    <rPh sb="0" eb="2">
      <t>アテサキ</t>
    </rPh>
    <rPh sb="3" eb="5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</si>
</sst>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2" sqref="F22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8">
      <c r="A1" s="4" t="s">
        <v>0</v>
      </c>
      <c r="B1" s="4"/>
      <c r="C1" s="4"/>
      <c r="D1" s="1" t="s">
        <v>17</v>
      </c>
    </row>
    <row r="2" spans="1:8">
      <c r="A2" s="4" t="s">
        <v>2</v>
      </c>
      <c r="B2" s="4"/>
      <c r="C2" s="4"/>
      <c r="D2" s="3" t="s">
        <v>18</v>
      </c>
      <c r="F2">
        <f>SUM(F4:F1000)</f>
        <v>46</v>
      </c>
      <c r="G2">
        <f>SUM(G4:G1000)</f>
        <v>100</v>
      </c>
    </row>
    <row r="3" spans="1:8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8">
      <c r="A4" s="2" t="s">
        <v>19</v>
      </c>
      <c r="C4" s="2" t="s">
        <v>20</v>
      </c>
      <c r="D4" s="1">
        <v>16</v>
      </c>
      <c r="E4">
        <f>IF(D4&lt;&gt;"",LEN(D4),"")</f>
        <v>2</v>
      </c>
      <c r="F4">
        <v>0</v>
      </c>
      <c r="G4">
        <v>2</v>
      </c>
      <c r="H4" t="s">
        <v>34</v>
      </c>
    </row>
    <row r="5" spans="1:8">
      <c r="C5" s="2" t="s">
        <v>22</v>
      </c>
      <c r="D5" s="1" t="s">
        <v>39</v>
      </c>
      <c r="E5">
        <f t="shared" ref="E5:E68" si="0">IF(D5&lt;&gt;"",LEN(D5),"")</f>
        <v>4</v>
      </c>
      <c r="F5">
        <v>2</v>
      </c>
      <c r="G5">
        <v>2</v>
      </c>
      <c r="H5" t="s">
        <v>35</v>
      </c>
    </row>
    <row r="6" spans="1:8">
      <c r="C6" s="2" t="s">
        <v>23</v>
      </c>
      <c r="D6" s="1" t="s">
        <v>40</v>
      </c>
      <c r="E6">
        <f t="shared" si="0"/>
        <v>6</v>
      </c>
      <c r="F6">
        <v>2</v>
      </c>
      <c r="G6">
        <v>2</v>
      </c>
      <c r="H6" t="s">
        <v>36</v>
      </c>
    </row>
    <row r="7" spans="1:8">
      <c r="C7" s="2" t="s">
        <v>24</v>
      </c>
      <c r="D7" s="1" t="s">
        <v>52</v>
      </c>
      <c r="E7">
        <f t="shared" si="0"/>
        <v>2</v>
      </c>
      <c r="F7">
        <v>0</v>
      </c>
      <c r="G7">
        <v>2</v>
      </c>
      <c r="H7" t="s">
        <v>37</v>
      </c>
    </row>
    <row r="8" spans="1:8">
      <c r="C8" s="2" t="s">
        <v>25</v>
      </c>
      <c r="D8" s="1" t="s">
        <v>53</v>
      </c>
      <c r="E8">
        <f t="shared" si="0"/>
        <v>3</v>
      </c>
      <c r="F8">
        <v>2</v>
      </c>
      <c r="G8">
        <v>2</v>
      </c>
      <c r="H8" t="s">
        <v>38</v>
      </c>
    </row>
    <row r="9" spans="1:8">
      <c r="A9" s="2" t="s">
        <v>26</v>
      </c>
      <c r="B9" s="2" t="s">
        <v>19</v>
      </c>
      <c r="D9" s="1" t="s">
        <v>46</v>
      </c>
      <c r="E9">
        <f t="shared" si="0"/>
        <v>3</v>
      </c>
      <c r="F9">
        <v>0</v>
      </c>
      <c r="G9">
        <v>4</v>
      </c>
      <c r="H9" t="s">
        <v>41</v>
      </c>
    </row>
    <row r="10" spans="1:8">
      <c r="B10" s="2" t="s">
        <v>26</v>
      </c>
      <c r="D10" s="1" t="s">
        <v>47</v>
      </c>
      <c r="E10">
        <f t="shared" si="0"/>
        <v>35</v>
      </c>
      <c r="F10">
        <v>8</v>
      </c>
      <c r="G10">
        <v>8</v>
      </c>
      <c r="H10" t="s">
        <v>42</v>
      </c>
    </row>
    <row r="11" spans="1:8">
      <c r="B11" s="2" t="s">
        <v>27</v>
      </c>
      <c r="D11" s="1" t="s">
        <v>49</v>
      </c>
      <c r="E11">
        <f t="shared" si="0"/>
        <v>35</v>
      </c>
      <c r="F11">
        <v>4</v>
      </c>
      <c r="G11">
        <v>8</v>
      </c>
      <c r="H11" t="s">
        <v>43</v>
      </c>
    </row>
    <row r="12" spans="1:8">
      <c r="A12" s="2" t="s">
        <v>27</v>
      </c>
      <c r="B12" s="2" t="s">
        <v>19</v>
      </c>
      <c r="C12" s="2" t="s">
        <v>28</v>
      </c>
      <c r="D12" s="1">
        <v>1052</v>
      </c>
      <c r="E12">
        <f t="shared" si="0"/>
        <v>4</v>
      </c>
      <c r="F12">
        <v>0</v>
      </c>
      <c r="G12">
        <v>5</v>
      </c>
      <c r="H12" t="s">
        <v>44</v>
      </c>
    </row>
    <row r="13" spans="1:8">
      <c r="C13" s="2" t="s">
        <v>21</v>
      </c>
      <c r="D13" s="1">
        <v>1050</v>
      </c>
      <c r="E13">
        <f t="shared" si="0"/>
        <v>4</v>
      </c>
      <c r="F13">
        <v>0</v>
      </c>
      <c r="G13">
        <v>5</v>
      </c>
      <c r="H13" t="s">
        <v>45</v>
      </c>
    </row>
    <row r="14" spans="1:8">
      <c r="B14" s="2" t="s">
        <v>26</v>
      </c>
      <c r="C14" s="2" t="s">
        <v>29</v>
      </c>
      <c r="D14" s="1" t="s">
        <v>55</v>
      </c>
      <c r="E14">
        <f t="shared" si="0"/>
        <v>7</v>
      </c>
      <c r="F14">
        <v>4</v>
      </c>
      <c r="G14">
        <v>4</v>
      </c>
      <c r="H14" t="s">
        <v>48</v>
      </c>
    </row>
    <row r="15" spans="1:8">
      <c r="C15" s="2" t="s">
        <v>30</v>
      </c>
      <c r="D15" s="1" t="s">
        <v>56</v>
      </c>
      <c r="E15">
        <f t="shared" si="0"/>
        <v>7</v>
      </c>
      <c r="F15">
        <v>4</v>
      </c>
      <c r="G15">
        <v>4</v>
      </c>
      <c r="H15" t="s">
        <v>50</v>
      </c>
    </row>
    <row r="16" spans="1:8">
      <c r="C16" s="2" t="s">
        <v>31</v>
      </c>
      <c r="D16" s="1" t="s">
        <v>57</v>
      </c>
      <c r="E16">
        <f t="shared" si="0"/>
        <v>13</v>
      </c>
      <c r="F16">
        <v>4</v>
      </c>
      <c r="G16">
        <v>4</v>
      </c>
      <c r="H16" t="s">
        <v>51</v>
      </c>
    </row>
    <row r="17" spans="1:8">
      <c r="C17" s="2" t="s">
        <v>32</v>
      </c>
      <c r="D17" s="1" t="s">
        <v>58</v>
      </c>
      <c r="E17">
        <f t="shared" si="0"/>
        <v>12</v>
      </c>
      <c r="F17">
        <v>4</v>
      </c>
      <c r="G17">
        <v>4</v>
      </c>
      <c r="H17" t="s">
        <v>54</v>
      </c>
    </row>
    <row r="18" spans="1:8">
      <c r="B18" s="2" t="s">
        <v>27</v>
      </c>
      <c r="C18" s="2" t="s">
        <v>19</v>
      </c>
      <c r="D18" s="1" t="s">
        <v>60</v>
      </c>
      <c r="E18">
        <f t="shared" si="0"/>
        <v>6</v>
      </c>
      <c r="F18">
        <v>0</v>
      </c>
      <c r="G18">
        <v>6</v>
      </c>
      <c r="H18" t="s">
        <v>59</v>
      </c>
    </row>
    <row r="19" spans="1:8">
      <c r="C19" s="2" t="s">
        <v>26</v>
      </c>
      <c r="D19" s="1" t="s">
        <v>61</v>
      </c>
      <c r="E19">
        <f t="shared" si="0"/>
        <v>6</v>
      </c>
      <c r="F19">
        <v>0</v>
      </c>
      <c r="G19">
        <v>6</v>
      </c>
    </row>
    <row r="20" spans="1:8" ht="37.5">
      <c r="B20" s="2" t="s">
        <v>33</v>
      </c>
      <c r="D20" s="1" t="s">
        <v>62</v>
      </c>
      <c r="E20">
        <f t="shared" si="0"/>
        <v>46</v>
      </c>
      <c r="F20">
        <v>0</v>
      </c>
      <c r="G20">
        <v>8</v>
      </c>
    </row>
    <row r="21" spans="1:8">
      <c r="A21" s="2" t="s">
        <v>33</v>
      </c>
      <c r="B21" s="2" t="s">
        <v>19</v>
      </c>
      <c r="D21" s="1" t="s">
        <v>63</v>
      </c>
      <c r="E21">
        <f t="shared" si="0"/>
        <v>19</v>
      </c>
      <c r="F21">
        <v>8</v>
      </c>
      <c r="G21">
        <v>8</v>
      </c>
    </row>
    <row r="22" spans="1:8">
      <c r="B22" s="2" t="s">
        <v>26</v>
      </c>
      <c r="D22" s="1" t="s">
        <v>64</v>
      </c>
      <c r="E22">
        <f t="shared" si="0"/>
        <v>32</v>
      </c>
      <c r="F22">
        <v>4</v>
      </c>
      <c r="G22">
        <v>8</v>
      </c>
    </row>
    <row r="23" spans="1:8">
      <c r="B23" s="2" t="s">
        <v>27</v>
      </c>
      <c r="D23" s="1" t="s">
        <v>65</v>
      </c>
      <c r="E23">
        <f t="shared" si="0"/>
        <v>14</v>
      </c>
      <c r="F23">
        <v>0</v>
      </c>
      <c r="G23">
        <v>8</v>
      </c>
    </row>
    <row r="24" spans="1:8">
      <c r="E24" t="str">
        <f t="shared" si="0"/>
        <v/>
      </c>
    </row>
    <row r="25" spans="1:8">
      <c r="E25" t="str">
        <f t="shared" si="0"/>
        <v/>
      </c>
    </row>
    <row r="26" spans="1:8">
      <c r="E26" t="str">
        <f t="shared" si="0"/>
        <v/>
      </c>
    </row>
    <row r="27" spans="1:8">
      <c r="E27" t="str">
        <f t="shared" si="0"/>
        <v/>
      </c>
    </row>
    <row r="28" spans="1:8">
      <c r="E28" t="str">
        <f t="shared" si="0"/>
        <v/>
      </c>
    </row>
    <row r="29" spans="1:8">
      <c r="E29" t="str">
        <f t="shared" si="0"/>
        <v/>
      </c>
    </row>
    <row r="30" spans="1:8">
      <c r="E30" t="str">
        <f t="shared" si="0"/>
        <v/>
      </c>
    </row>
    <row r="31" spans="1:8">
      <c r="E31" t="str">
        <f t="shared" si="0"/>
        <v/>
      </c>
    </row>
    <row r="32" spans="1:8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A181-CDA7-42F2-8A64-E1ED7EFF9B62}">
  <sheetPr codeName="Sheet4"/>
  <dimension ref="A1:H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6" sqref="F26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8">
      <c r="A1" s="4" t="s">
        <v>0</v>
      </c>
      <c r="B1" s="4"/>
      <c r="C1" s="4"/>
      <c r="D1" s="1" t="s">
        <v>17</v>
      </c>
    </row>
    <row r="2" spans="1:8">
      <c r="A2" s="4" t="s">
        <v>2</v>
      </c>
      <c r="B2" s="4"/>
      <c r="C2" s="4"/>
      <c r="D2" s="3" t="s">
        <v>66</v>
      </c>
      <c r="F2">
        <f>SUM(F4:F1000)</f>
        <v>69</v>
      </c>
      <c r="G2">
        <f>SUM(G4:G1000)</f>
        <v>100</v>
      </c>
    </row>
    <row r="3" spans="1:8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8">
      <c r="A4" s="2" t="s">
        <v>19</v>
      </c>
      <c r="C4" s="2" t="s">
        <v>67</v>
      </c>
      <c r="D4" s="1" t="s">
        <v>87</v>
      </c>
      <c r="E4">
        <f>IF(D4&lt;&gt;"",LEN(D4),"")</f>
        <v>3</v>
      </c>
      <c r="F4">
        <v>0</v>
      </c>
      <c r="G4">
        <v>2</v>
      </c>
      <c r="H4" t="s">
        <v>76</v>
      </c>
    </row>
    <row r="5" spans="1:8">
      <c r="C5" s="2" t="s">
        <v>68</v>
      </c>
      <c r="D5" s="1" t="s">
        <v>88</v>
      </c>
      <c r="E5">
        <f t="shared" ref="E5:E68" si="0">IF(D5&lt;&gt;"",LEN(D5),"")</f>
        <v>4</v>
      </c>
      <c r="F5">
        <v>2</v>
      </c>
      <c r="G5">
        <v>2</v>
      </c>
      <c r="H5" t="s">
        <v>77</v>
      </c>
    </row>
    <row r="6" spans="1:8">
      <c r="C6" s="2" t="s">
        <v>69</v>
      </c>
      <c r="D6" s="1">
        <v>3</v>
      </c>
      <c r="E6">
        <f t="shared" si="0"/>
        <v>1</v>
      </c>
      <c r="F6">
        <v>2</v>
      </c>
      <c r="G6">
        <v>2</v>
      </c>
      <c r="H6" t="s">
        <v>78</v>
      </c>
    </row>
    <row r="7" spans="1:8">
      <c r="C7" s="2" t="s">
        <v>70</v>
      </c>
      <c r="D7" s="1" t="s">
        <v>96</v>
      </c>
      <c r="E7">
        <f t="shared" si="0"/>
        <v>6</v>
      </c>
      <c r="F7">
        <v>2</v>
      </c>
      <c r="G7">
        <v>2</v>
      </c>
      <c r="H7" t="s">
        <v>79</v>
      </c>
    </row>
    <row r="8" spans="1:8">
      <c r="C8" s="2" t="s">
        <v>71</v>
      </c>
      <c r="D8" s="1" t="s">
        <v>86</v>
      </c>
      <c r="E8">
        <f t="shared" si="0"/>
        <v>8</v>
      </c>
      <c r="F8">
        <v>2</v>
      </c>
      <c r="G8">
        <v>2</v>
      </c>
      <c r="H8" t="s">
        <v>80</v>
      </c>
    </row>
    <row r="9" spans="1:8">
      <c r="A9" s="2" t="s">
        <v>26</v>
      </c>
      <c r="C9" s="2" t="s">
        <v>20</v>
      </c>
      <c r="D9" s="1" t="s">
        <v>90</v>
      </c>
      <c r="E9">
        <f t="shared" si="0"/>
        <v>7</v>
      </c>
      <c r="F9">
        <v>2</v>
      </c>
      <c r="G9">
        <v>2</v>
      </c>
      <c r="H9" t="s">
        <v>81</v>
      </c>
    </row>
    <row r="10" spans="1:8">
      <c r="C10" s="2" t="s">
        <v>72</v>
      </c>
      <c r="D10" s="1" t="s">
        <v>91</v>
      </c>
      <c r="E10">
        <f t="shared" si="0"/>
        <v>5</v>
      </c>
      <c r="F10">
        <v>3</v>
      </c>
      <c r="G10">
        <v>3</v>
      </c>
      <c r="H10" t="s">
        <v>82</v>
      </c>
    </row>
    <row r="11" spans="1:8">
      <c r="A11" s="2" t="s">
        <v>27</v>
      </c>
      <c r="B11" s="2" t="s">
        <v>19</v>
      </c>
      <c r="D11" s="1" t="s">
        <v>94</v>
      </c>
      <c r="E11">
        <f t="shared" si="0"/>
        <v>35</v>
      </c>
      <c r="F11">
        <v>0</v>
      </c>
      <c r="G11">
        <v>6</v>
      </c>
      <c r="H11" t="s">
        <v>83</v>
      </c>
    </row>
    <row r="12" spans="1:8">
      <c r="B12" s="2" t="s">
        <v>26</v>
      </c>
      <c r="D12" s="1" t="s">
        <v>95</v>
      </c>
      <c r="E12">
        <f t="shared" si="0"/>
        <v>8</v>
      </c>
      <c r="F12">
        <v>6</v>
      </c>
      <c r="G12">
        <v>6</v>
      </c>
      <c r="H12" t="s">
        <v>84</v>
      </c>
    </row>
    <row r="13" spans="1:8">
      <c r="A13" s="2" t="s">
        <v>33</v>
      </c>
      <c r="B13" s="2" t="s">
        <v>19</v>
      </c>
      <c r="C13" s="2" t="s">
        <v>22</v>
      </c>
      <c r="D13" s="1" t="s">
        <v>92</v>
      </c>
      <c r="E13">
        <f t="shared" si="0"/>
        <v>5</v>
      </c>
      <c r="F13">
        <v>2</v>
      </c>
      <c r="G13">
        <v>2</v>
      </c>
      <c r="H13" t="s">
        <v>85</v>
      </c>
    </row>
    <row r="14" spans="1:8">
      <c r="C14" s="2" t="s">
        <v>23</v>
      </c>
      <c r="D14" s="1" t="s">
        <v>93</v>
      </c>
      <c r="E14">
        <f t="shared" si="0"/>
        <v>6</v>
      </c>
      <c r="F14">
        <v>0</v>
      </c>
      <c r="G14">
        <v>2</v>
      </c>
      <c r="H14" t="s">
        <v>86</v>
      </c>
    </row>
    <row r="15" spans="1:8">
      <c r="C15" s="2" t="s">
        <v>24</v>
      </c>
      <c r="D15" s="1">
        <v>1</v>
      </c>
      <c r="E15">
        <f t="shared" si="0"/>
        <v>1</v>
      </c>
      <c r="F15">
        <v>2</v>
      </c>
      <c r="G15">
        <v>2</v>
      </c>
      <c r="H15" t="s">
        <v>89</v>
      </c>
    </row>
    <row r="16" spans="1:8">
      <c r="B16" s="2" t="s">
        <v>26</v>
      </c>
      <c r="D16" s="1" t="s">
        <v>97</v>
      </c>
      <c r="E16">
        <f t="shared" si="0"/>
        <v>24</v>
      </c>
      <c r="F16">
        <v>6</v>
      </c>
      <c r="G16">
        <v>6</v>
      </c>
      <c r="H16" t="s">
        <v>98</v>
      </c>
    </row>
    <row r="17" spans="1:8">
      <c r="B17" s="2" t="s">
        <v>27</v>
      </c>
      <c r="D17" s="1" t="s">
        <v>99</v>
      </c>
      <c r="E17">
        <f t="shared" si="0"/>
        <v>32</v>
      </c>
      <c r="F17">
        <v>6</v>
      </c>
      <c r="G17">
        <v>6</v>
      </c>
      <c r="H17" t="s">
        <v>103</v>
      </c>
    </row>
    <row r="18" spans="1:8">
      <c r="B18" s="2" t="s">
        <v>33</v>
      </c>
      <c r="D18" s="1" t="s">
        <v>100</v>
      </c>
      <c r="E18">
        <f t="shared" si="0"/>
        <v>38</v>
      </c>
      <c r="F18">
        <v>6</v>
      </c>
      <c r="G18">
        <v>6</v>
      </c>
      <c r="H18" t="s">
        <v>104</v>
      </c>
    </row>
    <row r="19" spans="1:8">
      <c r="B19" s="2" t="s">
        <v>73</v>
      </c>
      <c r="C19" s="2" t="s">
        <v>25</v>
      </c>
      <c r="D19" s="1" t="s">
        <v>101</v>
      </c>
      <c r="E19">
        <f t="shared" si="0"/>
        <v>7</v>
      </c>
      <c r="F19">
        <v>3</v>
      </c>
      <c r="G19">
        <v>3</v>
      </c>
      <c r="H19" t="s">
        <v>108</v>
      </c>
    </row>
    <row r="20" spans="1:8">
      <c r="C20" s="2" t="s">
        <v>74</v>
      </c>
      <c r="D20" s="1" t="s">
        <v>102</v>
      </c>
      <c r="E20">
        <f t="shared" si="0"/>
        <v>3</v>
      </c>
      <c r="F20">
        <v>3</v>
      </c>
      <c r="G20">
        <v>3</v>
      </c>
      <c r="H20" t="s">
        <v>109</v>
      </c>
    </row>
    <row r="21" spans="1:8">
      <c r="A21" s="2" t="s">
        <v>73</v>
      </c>
      <c r="B21" s="2" t="s">
        <v>19</v>
      </c>
      <c r="D21" s="1" t="s">
        <v>106</v>
      </c>
      <c r="E21">
        <f t="shared" si="0"/>
        <v>16</v>
      </c>
      <c r="F21">
        <v>2</v>
      </c>
      <c r="G21">
        <v>6</v>
      </c>
    </row>
    <row r="22" spans="1:8">
      <c r="B22" s="2" t="s">
        <v>26</v>
      </c>
      <c r="D22" s="1" t="s">
        <v>105</v>
      </c>
      <c r="E22">
        <f t="shared" si="0"/>
        <v>11</v>
      </c>
      <c r="F22">
        <v>6</v>
      </c>
      <c r="G22">
        <v>6</v>
      </c>
    </row>
    <row r="23" spans="1:8">
      <c r="B23" s="2" t="s">
        <v>27</v>
      </c>
      <c r="D23" s="1" t="s">
        <v>107</v>
      </c>
      <c r="E23">
        <f t="shared" si="0"/>
        <v>35</v>
      </c>
      <c r="F23">
        <v>6</v>
      </c>
      <c r="G23">
        <v>6</v>
      </c>
    </row>
    <row r="24" spans="1:8">
      <c r="A24" s="2" t="s">
        <v>75</v>
      </c>
      <c r="B24" s="2" t="s">
        <v>19</v>
      </c>
      <c r="D24" s="1" t="s">
        <v>110</v>
      </c>
      <c r="E24">
        <f t="shared" si="0"/>
        <v>4</v>
      </c>
      <c r="F24">
        <v>4</v>
      </c>
      <c r="G24">
        <v>4</v>
      </c>
    </row>
    <row r="25" spans="1:8">
      <c r="B25" s="2" t="s">
        <v>26</v>
      </c>
      <c r="D25" s="1">
        <v>3</v>
      </c>
      <c r="E25">
        <f t="shared" si="0"/>
        <v>1</v>
      </c>
      <c r="F25">
        <v>4</v>
      </c>
      <c r="G25">
        <v>4</v>
      </c>
    </row>
    <row r="26" spans="1:8">
      <c r="B26" s="2" t="s">
        <v>27</v>
      </c>
      <c r="D26" s="1" t="s">
        <v>111</v>
      </c>
      <c r="E26">
        <f t="shared" si="0"/>
        <v>20</v>
      </c>
      <c r="F26">
        <v>0</v>
      </c>
      <c r="G26">
        <v>5</v>
      </c>
    </row>
    <row r="27" spans="1:8">
      <c r="B27" s="2" t="s">
        <v>33</v>
      </c>
      <c r="D27" s="1" t="s">
        <v>112</v>
      </c>
      <c r="E27">
        <f t="shared" si="0"/>
        <v>25</v>
      </c>
      <c r="F27">
        <v>0</v>
      </c>
      <c r="G27">
        <v>6</v>
      </c>
    </row>
    <row r="28" spans="1:8">
      <c r="B28" s="2" t="s">
        <v>73</v>
      </c>
      <c r="D28" s="1" t="s">
        <v>113</v>
      </c>
      <c r="E28">
        <f t="shared" si="0"/>
        <v>11</v>
      </c>
      <c r="F28">
        <v>0</v>
      </c>
      <c r="G28">
        <v>6</v>
      </c>
    </row>
    <row r="29" spans="1:8">
      <c r="E29" t="str">
        <f t="shared" si="0"/>
        <v/>
      </c>
    </row>
    <row r="30" spans="1:8">
      <c r="E30" t="str">
        <f t="shared" si="0"/>
        <v/>
      </c>
    </row>
    <row r="31" spans="1:8">
      <c r="E31" t="str">
        <f t="shared" si="0"/>
        <v/>
      </c>
    </row>
    <row r="32" spans="1:8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2026-02-08T12:00:28Z</dcterms:modified>
</cp:coreProperties>
</file>